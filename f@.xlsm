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поиск\"/>
    </mc:Choice>
  </mc:AlternateContent>
  <xr:revisionPtr revIDLastSave="0" documentId="13_ncr:1_{0548BCF5-8929-4CCE-A7E1-2D602FA2A069}" xr6:coauthVersionLast="37" xr6:coauthVersionMax="45" xr10:uidLastSave="{00000000-0000-0000-0000-000000000000}"/>
  <bookViews>
    <workbookView xWindow="-108" yWindow="-108" windowWidth="19416" windowHeight="10416" activeTab="3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B27" i="5" l="1"/>
  <c r="A27" i="5"/>
  <c r="A24" i="5" l="1"/>
  <c r="B23" i="5" l="1"/>
  <c r="A23" i="5"/>
  <c r="A21" i="5" l="1"/>
  <c r="B21" i="5" s="1"/>
  <c r="A19" i="5" l="1"/>
  <c r="B19" i="5" s="1"/>
  <c r="A18" i="5" l="1"/>
  <c r="B18" i="5" s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A17" i="5"/>
  <c r="B17" i="5" s="1"/>
  <c r="A16" i="5" l="1"/>
  <c r="B16" i="5" s="1"/>
  <c r="A15" i="5" l="1"/>
  <c r="B15" i="5" s="1"/>
  <c r="A14" i="5" l="1"/>
  <c r="B14" i="5" s="1"/>
  <c r="A13" i="5" l="1"/>
  <c r="B13" i="5" s="1"/>
</calcChain>
</file>

<file path=xl/sharedStrings.xml><?xml version="1.0" encoding="utf-8"?>
<sst xmlns="http://schemas.openxmlformats.org/spreadsheetml/2006/main" count="355" uniqueCount="178">
  <si>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</si>
  <si>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</si>
  <si>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</si>
  <si>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</si>
  <si>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</si>
  <si>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</si>
  <si>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</si>
  <si>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</si>
  <si>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</si>
  <si>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</si>
  <si>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</si>
  <si>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</si>
  <si>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</si>
  <si>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</si>
  <si>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</si>
  <si>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</si>
  <si>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</si>
  <si>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</si>
  <si>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</si>
  <si>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</si>
  <si>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</si>
  <si>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</si>
  <si>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</si>
  <si>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</si>
  <si>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</si>
  <si>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</si>
  <si>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</si>
  <si>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</si>
  <si>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</si>
  <si>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</si>
  <si>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</si>
  <si>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</si>
  <si>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</si>
  <si>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</si>
  <si>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</si>
  <si>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</si>
  <si>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</si>
  <si>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</si>
  <si>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</si>
  <si>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</si>
  <si>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</si>
  <si>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</si>
  <si>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</si>
  <si>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</si>
  <si>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</si>
  <si>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</si>
  <si>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</si>
  <si>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</si>
  <si>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</si>
  <si>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</si>
  <si>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</si>
  <si>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</si>
  <si>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</si>
  <si>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</si>
  <si>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</si>
  <si>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</si>
  <si>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</si>
  <si>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</si>
  <si>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</si>
  <si>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</si>
  <si>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</si>
  <si>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</si>
  <si>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</si>
  <si>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</si>
  <si>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</si>
  <si>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</si>
  <si>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</si>
  <si>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</si>
  <si>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</si>
  <si>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</si>
  <si>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</si>
  <si>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</si>
  <si>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</si>
  <si>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</si>
  <si>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</si>
  <si>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</si>
  <si>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</si>
  <si>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</si>
  <si>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</si>
  <si>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</si>
  <si>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</si>
  <si>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</si>
  <si>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</si>
  <si>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</si>
  <si>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</si>
  <si>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</si>
  <si>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</si>
  <si>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</si>
  <si>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</si>
  <si>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</si>
  <si>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</si>
  <si>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</si>
  <si>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</si>
  <si>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</si>
  <si>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</si>
  <si>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</si>
  <si>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</si>
  <si>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</si>
  <si>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</si>
  <si>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</si>
  <si>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</si>
  <si>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</si>
  <si>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</si>
  <si>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</si>
  <si>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</si>
  <si>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</si>
  <si>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</si>
  <si>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</si>
  <si>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</si>
  <si>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</si>
  <si>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</si>
  <si>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</si>
  <si>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</si>
  <si>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</si>
  <si>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</si>
  <si>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</si>
  <si>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</si>
  <si>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</si>
  <si>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</si>
  <si>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</si>
  <si>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</si>
  <si>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</si>
  <si>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</si>
  <si>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</si>
  <si>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</si>
  <si>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</si>
  <si>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</si>
  <si>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</si>
  <si>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</si>
  <si>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</si>
  <si>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</si>
  <si>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</si>
  <si>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</si>
  <si>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</si>
  <si>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</si>
  <si>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</si>
  <si>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</si>
  <si>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</si>
  <si>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</si>
  <si>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</si>
  <si>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</si>
  <si>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</si>
  <si>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</si>
  <si>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</si>
  <si>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</si>
  <si>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</si>
  <si>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</si>
  <si>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</si>
  <si>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</si>
  <si>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</si>
  <si>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</si>
  <si>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</si>
  <si>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</si>
  <si>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</si>
  <si>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</si>
  <si>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</si>
  <si>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</si>
  <si>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</si>
  <si>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</si>
  <si>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</si>
  <si>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</si>
  <si>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</si>
  <si>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</si>
  <si>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</si>
  <si>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</si>
  <si>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</si>
  <si>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</si>
  <si>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</si>
  <si>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</si>
  <si>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</si>
  <si>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</si>
  <si>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</si>
  <si>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</si>
  <si>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</si>
  <si>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</si>
  <si>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июня</t>
  </si>
  <si>
    <t>19-27 июня</t>
  </si>
  <si>
    <t>28 июня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</si>
</sst>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5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0" fontId="1" fillId="4" borderId="0" xfId="0" applyFont="1" applyFill="1" applyAlignment="1">
      <alignment horizontal="right" vertical="center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7" borderId="1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left" vertical="center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opLeftCell="A61" zoomScale="70" zoomScaleNormal="70" zoomScaleSheetLayoutView="100" workbookViewId="0">
      <selection activeCell="N86" sqref="N86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31" t="s">
        <v>46</v>
      </c>
      <c r="Q6" s="232"/>
      <c r="R6" s="233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31" t="s">
        <v>4</v>
      </c>
      <c r="Q7" s="232"/>
      <c r="R7" s="233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31"/>
      <c r="Q8" s="232"/>
      <c r="R8" s="233"/>
    </row>
    <row r="9" spans="5:20" ht="15" customHeight="1" x14ac:dyDescent="0.25">
      <c r="E9" s="262" t="s">
        <v>36</v>
      </c>
      <c r="F9" s="262"/>
      <c r="G9" s="262"/>
      <c r="H9" s="276" t="s">
        <v>20</v>
      </c>
      <c r="I9" s="276"/>
      <c r="J9" s="276"/>
      <c r="K9" s="276"/>
      <c r="L9" s="276"/>
      <c r="M9" s="276"/>
      <c r="N9" s="276"/>
      <c r="O9" s="29" t="s">
        <v>106</v>
      </c>
      <c r="P9" s="249" t="s">
        <v>6</v>
      </c>
      <c r="Q9" s="250"/>
      <c r="R9" s="251"/>
    </row>
    <row r="10" spans="5:20" ht="24.9" customHeight="1" x14ac:dyDescent="0.25">
      <c r="E10" s="262" t="s">
        <v>37</v>
      </c>
      <c r="F10" s="262"/>
      <c r="G10" s="262"/>
      <c r="H10" s="269" t="s">
        <v>95</v>
      </c>
      <c r="I10" s="269"/>
      <c r="J10" s="269"/>
      <c r="K10" s="269"/>
      <c r="L10" s="269"/>
      <c r="M10" s="269"/>
      <c r="N10" s="269"/>
      <c r="O10" s="29" t="s">
        <v>106</v>
      </c>
      <c r="P10" s="273" t="s">
        <v>18</v>
      </c>
      <c r="Q10" s="274"/>
      <c r="R10" s="275"/>
    </row>
    <row r="11" spans="5:20" ht="24.9" customHeight="1" x14ac:dyDescent="0.25">
      <c r="E11" s="262" t="s">
        <v>28</v>
      </c>
      <c r="F11" s="262"/>
      <c r="G11" s="262"/>
      <c r="H11" s="267" t="s">
        <v>21</v>
      </c>
      <c r="I11" s="267"/>
      <c r="J11" s="267"/>
      <c r="K11" s="267"/>
      <c r="L11" s="267"/>
      <c r="M11" s="267"/>
      <c r="N11" s="267"/>
      <c r="O11" s="29" t="s">
        <v>106</v>
      </c>
      <c r="P11" s="249" t="s">
        <v>15</v>
      </c>
      <c r="Q11" s="250"/>
      <c r="R11" s="251"/>
    </row>
    <row r="12" spans="5:20" ht="24.9" customHeight="1" x14ac:dyDescent="0.25">
      <c r="E12" s="266" t="s">
        <v>89</v>
      </c>
      <c r="F12" s="266"/>
      <c r="G12" s="266"/>
      <c r="H12" s="267" t="s">
        <v>62</v>
      </c>
      <c r="I12" s="267"/>
      <c r="J12" s="267"/>
      <c r="K12" s="267"/>
      <c r="L12" s="267"/>
      <c r="M12" s="267"/>
      <c r="N12" s="267"/>
      <c r="O12" s="29" t="s">
        <v>106</v>
      </c>
      <c r="P12" s="268" t="s">
        <v>17</v>
      </c>
      <c r="Q12" s="268"/>
      <c r="R12" s="268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70" t="s">
        <v>127</v>
      </c>
      <c r="Q13" s="271"/>
      <c r="R13" s="272"/>
    </row>
    <row r="14" spans="5:20" ht="13.8" x14ac:dyDescent="0.25">
      <c r="E14" s="265" t="s">
        <v>88</v>
      </c>
      <c r="F14" s="265"/>
      <c r="G14" s="7"/>
      <c r="H14" s="269" t="s">
        <v>49</v>
      </c>
      <c r="I14" s="269"/>
      <c r="J14" s="269"/>
      <c r="K14" s="269"/>
      <c r="L14" s="269"/>
      <c r="M14" s="269"/>
      <c r="N14" s="269"/>
      <c r="O14" s="29"/>
      <c r="P14" s="249"/>
      <c r="Q14" s="250"/>
      <c r="R14" s="251"/>
    </row>
    <row r="15" spans="5:20" ht="13.8" x14ac:dyDescent="0.25">
      <c r="E15" s="262" t="s">
        <v>29</v>
      </c>
      <c r="F15" s="262"/>
      <c r="G15" s="262"/>
      <c r="H15" s="263" t="s">
        <v>66</v>
      </c>
      <c r="I15" s="263"/>
      <c r="J15" s="263"/>
      <c r="K15" s="263"/>
      <c r="L15" s="263"/>
      <c r="M15" s="263"/>
      <c r="N15" s="263"/>
      <c r="O15" s="29"/>
      <c r="P15" s="264"/>
      <c r="Q15" s="264"/>
      <c r="R15" s="264"/>
      <c r="T15" s="131"/>
    </row>
    <row r="16" spans="5:20" ht="13.8" x14ac:dyDescent="0.25">
      <c r="E16" s="265" t="s">
        <v>64</v>
      </c>
      <c r="F16" s="265"/>
      <c r="G16" s="7"/>
      <c r="H16" s="263" t="s">
        <v>63</v>
      </c>
      <c r="I16" s="263"/>
      <c r="J16" s="263"/>
      <c r="K16" s="263"/>
      <c r="L16" s="263"/>
      <c r="M16" s="263"/>
      <c r="N16" s="263"/>
      <c r="O16" s="29" t="s">
        <v>40</v>
      </c>
      <c r="P16" s="264"/>
      <c r="Q16" s="264"/>
      <c r="R16" s="26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7" t="s">
        <v>22</v>
      </c>
      <c r="N17" s="247"/>
      <c r="O17" s="248"/>
      <c r="P17" s="249"/>
      <c r="Q17" s="250"/>
      <c r="R17" s="251"/>
    </row>
    <row r="18" spans="5:18" ht="15" customHeight="1" x14ac:dyDescent="0.25">
      <c r="E18" s="252" t="s">
        <v>80</v>
      </c>
      <c r="F18" s="253"/>
      <c r="G18" s="253"/>
      <c r="H18" s="253"/>
      <c r="I18" s="253"/>
      <c r="J18" s="254"/>
      <c r="K18" s="253"/>
      <c r="L18" s="253"/>
      <c r="M18" s="29"/>
      <c r="N18" s="116" t="s">
        <v>31</v>
      </c>
      <c r="O18" s="33" t="s">
        <v>103</v>
      </c>
      <c r="P18" s="255" t="s">
        <v>14</v>
      </c>
      <c r="Q18" s="256"/>
      <c r="R18" s="257"/>
    </row>
    <row r="19" spans="5:18" ht="13.8" x14ac:dyDescent="0.25">
      <c r="E19" s="258" t="s">
        <v>76</v>
      </c>
      <c r="F19" s="253"/>
      <c r="G19" s="253"/>
      <c r="H19" s="253"/>
      <c r="I19" s="253"/>
      <c r="J19" s="254"/>
      <c r="K19" s="253"/>
      <c r="L19" s="253"/>
      <c r="M19" s="247"/>
      <c r="N19" s="248"/>
      <c r="O19" s="34" t="s">
        <v>101</v>
      </c>
      <c r="P19" s="259" t="s">
        <v>10</v>
      </c>
      <c r="Q19" s="260"/>
      <c r="R19" s="261"/>
    </row>
    <row r="20" spans="5:18" ht="13.8" x14ac:dyDescent="0.25">
      <c r="E20" s="37" t="s">
        <v>82</v>
      </c>
      <c r="F20" s="37"/>
      <c r="G20" s="37"/>
      <c r="H20" s="37"/>
      <c r="I20" s="104"/>
      <c r="J20" s="200" t="s">
        <v>0</v>
      </c>
      <c r="K20" s="37"/>
      <c r="L20" s="37"/>
      <c r="M20" s="29"/>
      <c r="N20" s="116" t="s">
        <v>32</v>
      </c>
      <c r="O20" s="33" t="s">
        <v>103</v>
      </c>
      <c r="P20" s="231"/>
      <c r="Q20" s="232"/>
      <c r="R20" s="233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34"/>
      <c r="Q21" s="235"/>
      <c r="R21" s="236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1" t="s">
        <v>77</v>
      </c>
      <c r="Q22" s="232"/>
      <c r="R22" s="233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39" t="s">
        <v>60</v>
      </c>
      <c r="K47" s="240"/>
      <c r="L47" s="240"/>
      <c r="M47" s="241"/>
      <c r="N47" s="245" t="s">
        <v>30</v>
      </c>
      <c r="O47" s="237" t="s">
        <v>67</v>
      </c>
      <c r="P47" s="238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42"/>
      <c r="K48" s="243"/>
      <c r="L48" s="243"/>
      <c r="M48" s="244"/>
      <c r="N48" s="246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8" t="s">
        <v>3</v>
      </c>
      <c r="K49" s="219"/>
      <c r="L49" s="219"/>
      <c r="M49" s="22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1" t="s">
        <v>19</v>
      </c>
      <c r="F51" s="221"/>
      <c r="G51" s="221"/>
      <c r="H51" s="221"/>
      <c r="I51" s="221"/>
      <c r="J51" s="221"/>
      <c r="K51" s="221"/>
      <c r="L51" s="221"/>
      <c r="M51" s="221"/>
      <c r="N51" s="221"/>
      <c r="O51" s="221"/>
      <c r="P51" s="221"/>
      <c r="Q51" s="221"/>
      <c r="R51" s="221"/>
    </row>
    <row r="52" spans="5:22" ht="14.25" customHeight="1" x14ac:dyDescent="0.25">
      <c r="E52" s="221" t="s">
        <v>61</v>
      </c>
      <c r="F52" s="221"/>
      <c r="G52" s="221"/>
      <c r="H52" s="221"/>
      <c r="I52" s="221"/>
      <c r="J52" s="221"/>
      <c r="K52" s="221"/>
      <c r="L52" s="221"/>
      <c r="M52" s="221"/>
      <c r="N52" s="221"/>
      <c r="O52" s="221"/>
      <c r="P52" s="221"/>
      <c r="Q52" s="221"/>
      <c r="R52" s="221"/>
    </row>
    <row r="53" spans="5:22" ht="13.5" customHeight="1" x14ac:dyDescent="0.25"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23" t="s">
        <v>59</v>
      </c>
      <c r="F55" s="223"/>
      <c r="G55" s="224" t="s">
        <v>98</v>
      </c>
      <c r="H55" s="225" t="s">
        <v>56</v>
      </c>
      <c r="I55" s="226" t="s">
        <v>68</v>
      </c>
      <c r="J55" s="224" t="s">
        <v>33</v>
      </c>
      <c r="K55" s="224" t="s">
        <v>47</v>
      </c>
      <c r="L55" s="201" t="s">
        <v>97</v>
      </c>
      <c r="M55" s="224" t="s">
        <v>69</v>
      </c>
      <c r="N55" s="228" t="s">
        <v>84</v>
      </c>
      <c r="O55" s="224" t="s">
        <v>73</v>
      </c>
      <c r="P55" s="229" t="s">
        <v>48</v>
      </c>
      <c r="Q55" s="228" t="s">
        <v>83</v>
      </c>
      <c r="R55" s="201" t="s">
        <v>35</v>
      </c>
    </row>
    <row r="56" spans="5:22" ht="41.4" x14ac:dyDescent="0.25">
      <c r="E56" s="46" t="s">
        <v>109</v>
      </c>
      <c r="F56" s="10" t="s">
        <v>107</v>
      </c>
      <c r="G56" s="224"/>
      <c r="H56" s="225"/>
      <c r="I56" s="227"/>
      <c r="J56" s="224"/>
      <c r="K56" s="224"/>
      <c r="L56" s="201"/>
      <c r="M56" s="224"/>
      <c r="N56" s="228"/>
      <c r="O56" s="224"/>
      <c r="P56" s="230"/>
      <c r="Q56" s="228"/>
      <c r="R56" s="201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02" t="s">
        <v>75</v>
      </c>
      <c r="F59" s="203"/>
      <c r="G59" s="204"/>
      <c r="H59" s="205"/>
      <c r="I59" s="205"/>
      <c r="J59" s="206"/>
      <c r="K59" s="207"/>
      <c r="L59" s="208"/>
      <c r="M59" s="207"/>
      <c r="N59" s="209"/>
      <c r="O59" s="207"/>
      <c r="P59" s="207"/>
      <c r="Q59" s="210"/>
      <c r="R59" s="211"/>
    </row>
    <row r="62" spans="5:22" ht="13.8" x14ac:dyDescent="0.25">
      <c r="E62" s="202" t="s">
        <v>74</v>
      </c>
      <c r="F62" s="203"/>
      <c r="G62" s="204"/>
      <c r="H62" s="205"/>
      <c r="I62" s="205"/>
      <c r="J62" s="206"/>
      <c r="K62" s="207"/>
      <c r="L62" s="208"/>
      <c r="M62" s="207"/>
      <c r="N62" s="209"/>
      <c r="O62" s="207"/>
      <c r="P62" s="207"/>
      <c r="Q62" s="210"/>
      <c r="R62" s="211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8730215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3221483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13" t="s">
        <v>110</v>
      </c>
      <c r="F104" s="213"/>
      <c r="G104" s="213"/>
      <c r="H104" s="82" t="s">
        <v>111</v>
      </c>
      <c r="I104" s="83"/>
      <c r="J104" s="83"/>
      <c r="K104" s="5"/>
      <c r="L104" s="213" t="s">
        <v>122</v>
      </c>
      <c r="M104" s="213"/>
      <c r="N104" s="213"/>
      <c r="O104" s="95"/>
      <c r="P104" s="216" t="s">
        <v>123</v>
      </c>
      <c r="Q104" s="216" t="s">
        <v>112</v>
      </c>
      <c r="R104" s="216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14" t="s">
        <v>52</v>
      </c>
      <c r="M105" s="214"/>
      <c r="N105" s="214" t="s">
        <v>114</v>
      </c>
      <c r="O105" s="214"/>
      <c r="P105" s="217" t="s">
        <v>115</v>
      </c>
      <c r="Q105" s="217"/>
      <c r="R105" s="217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80" t="s">
        <v>124</v>
      </c>
      <c r="M106" s="280"/>
      <c r="N106" s="280"/>
      <c r="O106" s="280"/>
      <c r="P106" s="280"/>
      <c r="Q106" s="280"/>
      <c r="R106" s="280"/>
    </row>
    <row r="107" spans="5:18" x14ac:dyDescent="0.25">
      <c r="E107" s="281"/>
      <c r="F107" s="281"/>
      <c r="G107" s="281"/>
      <c r="H107" s="83"/>
      <c r="I107" s="89"/>
      <c r="J107" s="89"/>
      <c r="K107" s="5"/>
      <c r="L107" s="215" t="s">
        <v>24</v>
      </c>
      <c r="M107" s="215"/>
      <c r="N107" s="215"/>
      <c r="O107" s="89"/>
      <c r="P107" s="89"/>
      <c r="Q107" s="89"/>
      <c r="R107" s="89"/>
    </row>
    <row r="108" spans="5:18" x14ac:dyDescent="0.25">
      <c r="E108" s="212"/>
      <c r="F108" s="212"/>
      <c r="G108" s="212"/>
      <c r="H108" s="89"/>
      <c r="I108" s="89"/>
      <c r="J108" s="89"/>
      <c r="K108" s="5"/>
      <c r="L108" s="283" t="s">
        <v>117</v>
      </c>
      <c r="M108" s="283"/>
      <c r="N108" s="91"/>
      <c r="O108" s="91"/>
      <c r="P108" s="92"/>
      <c r="Q108" s="284" t="s">
        <v>118</v>
      </c>
      <c r="R108" s="284"/>
    </row>
    <row r="109" spans="5:18" x14ac:dyDescent="0.25">
      <c r="E109" s="282"/>
      <c r="F109" s="282"/>
      <c r="G109" s="282"/>
      <c r="H109" s="90"/>
      <c r="I109" s="89"/>
      <c r="J109" s="89"/>
      <c r="K109" s="5"/>
      <c r="L109" s="285" t="s">
        <v>114</v>
      </c>
      <c r="M109" s="285"/>
      <c r="N109" s="285"/>
      <c r="O109" s="285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86" t="s">
        <v>119</v>
      </c>
      <c r="R111" s="286"/>
    </row>
    <row r="112" spans="5:18" x14ac:dyDescent="0.25">
      <c r="E112" s="89"/>
      <c r="F112" s="89"/>
      <c r="G112" s="89"/>
      <c r="H112" s="89"/>
      <c r="I112" s="89"/>
      <c r="J112" s="89"/>
      <c r="K112" s="5"/>
      <c r="L112" s="279" t="s">
        <v>114</v>
      </c>
      <c r="M112" s="279"/>
      <c r="N112" s="279"/>
      <c r="O112" s="279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77" t="s">
        <v>120</v>
      </c>
      <c r="M113" s="277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78"/>
      <c r="M114" s="278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79" t="s">
        <v>114</v>
      </c>
      <c r="M115" s="279"/>
      <c r="N115" s="279"/>
      <c r="O115" s="279"/>
      <c r="P115" s="85" t="s">
        <v>115</v>
      </c>
      <c r="Q115" s="71"/>
      <c r="R115" s="72"/>
    </row>
  </sheetData>
  <mergeCells count="74"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ColWidth="8.88671875"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ColWidth="8.88671875"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4" max="4" width="8.77734375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abSelected="1" workbookViewId="0">
      <selection activeCell="B15" sqref="B15"/>
    </sheetView>
  </sheetViews>
  <sheetFormatPr defaultColWidth="8.88671875"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169" t="s">
        <v>176</v>
      </c>
      <c r="B12" s="170" t="s">
        <v>155</v>
      </c>
      <c r="C12" s="171">
        <v>1188</v>
      </c>
    </row>
    <row r="13" spans="1:3" x14ac:dyDescent="0.3">
      <c r="A13" s="169" t="s">
        <v>177</v>
      </c>
      <c r="B13" s="170" t="s">
        <v>142</v>
      </c>
      <c r="C13" s="171">
        <v>1174</v>
      </c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27"/>
  <sheetViews>
    <sheetView topLeftCell="A10" workbookViewId="0">
      <selection activeCell="D18" sqref="D18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  <c r="B18" s="195">
        <f t="shared" ref="B18:B23" si="1">A18/(ROW()-1)</f>
        <v>43.176470588235297</v>
      </c>
    </row>
    <row r="19" spans="1:2" x14ac:dyDescent="0.3">
      <c r="A19">
        <f>148+156+304+115+84</f>
        <v>807</v>
      </c>
      <c r="B19" s="195">
        <f t="shared" si="1"/>
        <v>44.833333333333336</v>
      </c>
    </row>
    <row r="21" spans="1:2" x14ac:dyDescent="0.3">
      <c r="A21">
        <f>148+153+303+115+84</f>
        <v>803</v>
      </c>
      <c r="B21" s="195">
        <f t="shared" si="1"/>
        <v>40.15</v>
      </c>
    </row>
    <row r="23" spans="1:2" x14ac:dyDescent="0.3">
      <c r="A23">
        <f>176+153+638+88+115+20</f>
        <v>1190</v>
      </c>
      <c r="B23" s="195">
        <f t="shared" si="1"/>
        <v>54.090909090909093</v>
      </c>
    </row>
    <row r="24" spans="1:2" x14ac:dyDescent="0.3">
      <c r="A24">
        <f>176+153+636+20+88+115</f>
        <v>1188</v>
      </c>
    </row>
    <row r="27" spans="1:2" x14ac:dyDescent="0.3">
      <c r="A27" s="195">
        <f>176+153+643+23+115+64</f>
        <v>1174</v>
      </c>
      <c r="B27" s="195">
        <f>A27/(ROW()-1)</f>
        <v>45.153846153846153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31" t="s">
        <v>46</v>
      </c>
      <c r="Q6" s="232"/>
      <c r="R6" s="233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31" t="s">
        <v>4</v>
      </c>
      <c r="Q7" s="232"/>
      <c r="R7" s="233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31"/>
      <c r="Q8" s="232"/>
      <c r="R8" s="233"/>
    </row>
    <row r="9" spans="5:20" ht="15" customHeight="1" x14ac:dyDescent="0.25">
      <c r="E9" s="262" t="s">
        <v>36</v>
      </c>
      <c r="F9" s="262"/>
      <c r="G9" s="262"/>
      <c r="H9" s="276" t="s">
        <v>20</v>
      </c>
      <c r="I9" s="276"/>
      <c r="J9" s="276"/>
      <c r="K9" s="276"/>
      <c r="L9" s="276"/>
      <c r="M9" s="276"/>
      <c r="N9" s="276"/>
      <c r="O9" s="162" t="s">
        <v>106</v>
      </c>
      <c r="P9" s="249" t="s">
        <v>6</v>
      </c>
      <c r="Q9" s="250"/>
      <c r="R9" s="251"/>
    </row>
    <row r="10" spans="5:20" ht="24.9" customHeight="1" x14ac:dyDescent="0.25">
      <c r="E10" s="262" t="s">
        <v>37</v>
      </c>
      <c r="F10" s="262"/>
      <c r="G10" s="262"/>
      <c r="H10" s="269" t="s">
        <v>95</v>
      </c>
      <c r="I10" s="269"/>
      <c r="J10" s="269"/>
      <c r="K10" s="269"/>
      <c r="L10" s="269"/>
      <c r="M10" s="269"/>
      <c r="N10" s="269"/>
      <c r="O10" s="162" t="s">
        <v>106</v>
      </c>
      <c r="P10" s="273" t="s">
        <v>18</v>
      </c>
      <c r="Q10" s="274"/>
      <c r="R10" s="275"/>
    </row>
    <row r="11" spans="5:20" ht="24.9" customHeight="1" x14ac:dyDescent="0.25">
      <c r="E11" s="262" t="s">
        <v>28</v>
      </c>
      <c r="F11" s="262"/>
      <c r="G11" s="262"/>
      <c r="H11" s="267" t="s">
        <v>21</v>
      </c>
      <c r="I11" s="267"/>
      <c r="J11" s="267"/>
      <c r="K11" s="267"/>
      <c r="L11" s="267"/>
      <c r="M11" s="267"/>
      <c r="N11" s="267"/>
      <c r="O11" s="162" t="s">
        <v>106</v>
      </c>
      <c r="P11" s="249" t="s">
        <v>15</v>
      </c>
      <c r="Q11" s="250"/>
      <c r="R11" s="251"/>
    </row>
    <row r="12" spans="5:20" ht="24.9" customHeight="1" x14ac:dyDescent="0.25">
      <c r="E12" s="266" t="s">
        <v>89</v>
      </c>
      <c r="F12" s="266"/>
      <c r="G12" s="266"/>
      <c r="H12" s="267" t="s">
        <v>62</v>
      </c>
      <c r="I12" s="267"/>
      <c r="J12" s="267"/>
      <c r="K12" s="267"/>
      <c r="L12" s="267"/>
      <c r="M12" s="267"/>
      <c r="N12" s="267"/>
      <c r="O12" s="162" t="s">
        <v>106</v>
      </c>
      <c r="P12" s="268" t="s">
        <v>17</v>
      </c>
      <c r="Q12" s="268"/>
      <c r="R12" s="268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70" t="s">
        <v>127</v>
      </c>
      <c r="Q13" s="271"/>
      <c r="R13" s="272"/>
    </row>
    <row r="14" spans="5:20" ht="13.8" x14ac:dyDescent="0.25">
      <c r="E14" s="294" t="s">
        <v>88</v>
      </c>
      <c r="F14" s="294"/>
      <c r="G14" s="7"/>
      <c r="H14" s="269" t="s">
        <v>49</v>
      </c>
      <c r="I14" s="269"/>
      <c r="J14" s="269"/>
      <c r="K14" s="269"/>
      <c r="L14" s="269"/>
      <c r="M14" s="269"/>
      <c r="N14" s="269"/>
      <c r="O14" s="162"/>
      <c r="P14" s="249"/>
      <c r="Q14" s="250"/>
      <c r="R14" s="251"/>
    </row>
    <row r="15" spans="5:20" ht="13.8" x14ac:dyDescent="0.25">
      <c r="E15" s="262" t="s">
        <v>29</v>
      </c>
      <c r="F15" s="262"/>
      <c r="G15" s="262"/>
      <c r="H15" s="263" t="s">
        <v>66</v>
      </c>
      <c r="I15" s="263"/>
      <c r="J15" s="263"/>
      <c r="K15" s="263"/>
      <c r="L15" s="263"/>
      <c r="M15" s="263"/>
      <c r="N15" s="263"/>
      <c r="O15" s="162"/>
      <c r="P15" s="264"/>
      <c r="Q15" s="264"/>
      <c r="R15" s="264"/>
      <c r="T15" s="131"/>
    </row>
    <row r="16" spans="5:20" ht="13.8" x14ac:dyDescent="0.25">
      <c r="E16" s="294" t="s">
        <v>64</v>
      </c>
      <c r="F16" s="294"/>
      <c r="G16" s="7"/>
      <c r="H16" s="263" t="s">
        <v>63</v>
      </c>
      <c r="I16" s="263"/>
      <c r="J16" s="263"/>
      <c r="K16" s="263"/>
      <c r="L16" s="263"/>
      <c r="M16" s="263"/>
      <c r="N16" s="263"/>
      <c r="O16" s="162" t="s">
        <v>40</v>
      </c>
      <c r="P16" s="264"/>
      <c r="Q16" s="264"/>
      <c r="R16" s="26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7" t="s">
        <v>22</v>
      </c>
      <c r="N17" s="247"/>
      <c r="O17" s="248"/>
      <c r="P17" s="249"/>
      <c r="Q17" s="250"/>
      <c r="R17" s="251"/>
    </row>
    <row r="18" spans="5:18" ht="15" customHeight="1" x14ac:dyDescent="0.25">
      <c r="E18" s="252" t="s">
        <v>80</v>
      </c>
      <c r="F18" s="253"/>
      <c r="G18" s="253"/>
      <c r="H18" s="253"/>
      <c r="I18" s="253"/>
      <c r="J18" s="254"/>
      <c r="K18" s="253"/>
      <c r="L18" s="253"/>
      <c r="M18" s="162"/>
      <c r="N18" s="124" t="s">
        <v>31</v>
      </c>
      <c r="O18" s="33" t="s">
        <v>103</v>
      </c>
      <c r="P18" s="255" t="s">
        <v>14</v>
      </c>
      <c r="Q18" s="256"/>
      <c r="R18" s="257"/>
    </row>
    <row r="19" spans="5:18" ht="13.8" x14ac:dyDescent="0.25">
      <c r="E19" s="258" t="s">
        <v>76</v>
      </c>
      <c r="F19" s="253"/>
      <c r="G19" s="253"/>
      <c r="H19" s="253"/>
      <c r="I19" s="253"/>
      <c r="J19" s="254"/>
      <c r="K19" s="253"/>
      <c r="L19" s="253"/>
      <c r="M19" s="247"/>
      <c r="N19" s="248"/>
      <c r="O19" s="34" t="s">
        <v>101</v>
      </c>
      <c r="P19" s="259" t="s">
        <v>10</v>
      </c>
      <c r="Q19" s="260"/>
      <c r="R19" s="261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31"/>
      <c r="Q20" s="232"/>
      <c r="R20" s="233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34"/>
      <c r="Q21" s="235"/>
      <c r="R21" s="236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1" t="s">
        <v>77</v>
      </c>
      <c r="Q22" s="232"/>
      <c r="R22" s="233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8" t="s">
        <v>60</v>
      </c>
      <c r="K47" s="289"/>
      <c r="L47" s="289"/>
      <c r="M47" s="290"/>
      <c r="N47" s="245" t="s">
        <v>30</v>
      </c>
      <c r="O47" s="237" t="s">
        <v>67</v>
      </c>
      <c r="P47" s="238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1"/>
      <c r="K48" s="292"/>
      <c r="L48" s="292"/>
      <c r="M48" s="293"/>
      <c r="N48" s="246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8" t="s">
        <v>3</v>
      </c>
      <c r="K49" s="219"/>
      <c r="L49" s="219"/>
      <c r="M49" s="220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1" t="s">
        <v>19</v>
      </c>
      <c r="F51" s="221"/>
      <c r="G51" s="221"/>
      <c r="H51" s="221"/>
      <c r="I51" s="221"/>
      <c r="J51" s="221"/>
      <c r="K51" s="221"/>
      <c r="L51" s="221"/>
      <c r="M51" s="221"/>
      <c r="N51" s="221"/>
      <c r="O51" s="221"/>
      <c r="P51" s="221"/>
      <c r="Q51" s="221"/>
      <c r="R51" s="221"/>
    </row>
    <row r="52" spans="5:22" ht="14.25" customHeight="1" x14ac:dyDescent="0.25">
      <c r="E52" s="221" t="s">
        <v>61</v>
      </c>
      <c r="F52" s="221"/>
      <c r="G52" s="221"/>
      <c r="H52" s="221"/>
      <c r="I52" s="221"/>
      <c r="J52" s="221"/>
      <c r="K52" s="221"/>
      <c r="L52" s="221"/>
      <c r="M52" s="221"/>
      <c r="N52" s="221"/>
      <c r="O52" s="221"/>
      <c r="P52" s="221"/>
      <c r="Q52" s="221"/>
      <c r="R52" s="221"/>
    </row>
    <row r="53" spans="5:22" ht="13.5" customHeight="1" x14ac:dyDescent="0.25"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23" t="s">
        <v>59</v>
      </c>
      <c r="F55" s="223"/>
      <c r="G55" s="224" t="s">
        <v>98</v>
      </c>
      <c r="H55" s="287" t="s">
        <v>56</v>
      </c>
      <c r="I55" s="226" t="s">
        <v>68</v>
      </c>
      <c r="J55" s="224" t="s">
        <v>33</v>
      </c>
      <c r="K55" s="224" t="s">
        <v>47</v>
      </c>
      <c r="L55" s="201" t="s">
        <v>97</v>
      </c>
      <c r="M55" s="224" t="s">
        <v>69</v>
      </c>
      <c r="N55" s="228" t="s">
        <v>84</v>
      </c>
      <c r="O55" s="224" t="s">
        <v>73</v>
      </c>
      <c r="P55" s="229" t="s">
        <v>48</v>
      </c>
      <c r="Q55" s="228" t="s">
        <v>83</v>
      </c>
      <c r="R55" s="201" t="s">
        <v>35</v>
      </c>
    </row>
    <row r="56" spans="5:22" ht="41.4" x14ac:dyDescent="0.25">
      <c r="E56" s="161" t="s">
        <v>109</v>
      </c>
      <c r="F56" s="10" t="s">
        <v>107</v>
      </c>
      <c r="G56" s="224"/>
      <c r="H56" s="287"/>
      <c r="I56" s="227"/>
      <c r="J56" s="224"/>
      <c r="K56" s="224"/>
      <c r="L56" s="201"/>
      <c r="M56" s="224"/>
      <c r="N56" s="228"/>
      <c r="O56" s="224"/>
      <c r="P56" s="230"/>
      <c r="Q56" s="228"/>
      <c r="R56" s="201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02" t="s">
        <v>75</v>
      </c>
      <c r="F59" s="203"/>
      <c r="G59" s="204"/>
      <c r="H59" s="205"/>
      <c r="I59" s="205"/>
      <c r="J59" s="206"/>
      <c r="K59" s="207"/>
      <c r="L59" s="208"/>
      <c r="M59" s="207"/>
      <c r="N59" s="209"/>
      <c r="O59" s="207"/>
      <c r="P59" s="207"/>
      <c r="Q59" s="210"/>
      <c r="R59" s="211"/>
    </row>
    <row r="62" spans="5:22" ht="13.8" x14ac:dyDescent="0.25">
      <c r="E62" s="202" t="s">
        <v>74</v>
      </c>
      <c r="F62" s="203"/>
      <c r="G62" s="204"/>
      <c r="H62" s="205"/>
      <c r="I62" s="205"/>
      <c r="J62" s="206"/>
      <c r="K62" s="207"/>
      <c r="L62" s="208"/>
      <c r="M62" s="207"/>
      <c r="N62" s="209"/>
      <c r="O62" s="207"/>
      <c r="P62" s="207"/>
      <c r="Q62" s="210"/>
      <c r="R62" s="211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13" t="s">
        <v>110</v>
      </c>
      <c r="F100" s="213"/>
      <c r="G100" s="213"/>
      <c r="H100" s="166" t="s">
        <v>111</v>
      </c>
      <c r="I100" s="83"/>
      <c r="J100" s="83"/>
      <c r="K100" s="5"/>
      <c r="L100" s="213" t="s">
        <v>122</v>
      </c>
      <c r="M100" s="213"/>
      <c r="N100" s="213"/>
      <c r="O100" s="166"/>
      <c r="P100" s="216" t="s">
        <v>123</v>
      </c>
      <c r="Q100" s="216" t="s">
        <v>112</v>
      </c>
      <c r="R100" s="216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14" t="s">
        <v>52</v>
      </c>
      <c r="M101" s="214"/>
      <c r="N101" s="214" t="s">
        <v>114</v>
      </c>
      <c r="O101" s="214"/>
      <c r="P101" s="217" t="s">
        <v>115</v>
      </c>
      <c r="Q101" s="217"/>
      <c r="R101" s="217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80" t="s">
        <v>124</v>
      </c>
      <c r="M102" s="280"/>
      <c r="N102" s="280"/>
      <c r="O102" s="280"/>
      <c r="P102" s="280"/>
      <c r="Q102" s="280"/>
      <c r="R102" s="280"/>
    </row>
    <row r="103" spans="5:18" x14ac:dyDescent="0.25">
      <c r="E103" s="281"/>
      <c r="F103" s="281"/>
      <c r="G103" s="281"/>
      <c r="H103" s="83"/>
      <c r="I103" s="89"/>
      <c r="J103" s="89"/>
      <c r="K103" s="5"/>
      <c r="L103" s="215" t="s">
        <v>24</v>
      </c>
      <c r="M103" s="215"/>
      <c r="N103" s="215"/>
      <c r="O103" s="89"/>
      <c r="P103" s="89"/>
      <c r="Q103" s="89"/>
      <c r="R103" s="89"/>
    </row>
    <row r="104" spans="5:18" x14ac:dyDescent="0.25">
      <c r="E104" s="212"/>
      <c r="F104" s="212"/>
      <c r="G104" s="212"/>
      <c r="H104" s="89"/>
      <c r="I104" s="89"/>
      <c r="J104" s="89"/>
      <c r="K104" s="5"/>
      <c r="L104" s="283" t="s">
        <v>117</v>
      </c>
      <c r="M104" s="283"/>
      <c r="N104" s="91"/>
      <c r="O104" s="91"/>
      <c r="P104" s="92"/>
      <c r="Q104" s="284" t="s">
        <v>118</v>
      </c>
      <c r="R104" s="284"/>
    </row>
    <row r="105" spans="5:18" x14ac:dyDescent="0.25">
      <c r="E105" s="282"/>
      <c r="F105" s="282"/>
      <c r="G105" s="282"/>
      <c r="H105" s="90"/>
      <c r="I105" s="89"/>
      <c r="J105" s="89"/>
      <c r="K105" s="5"/>
      <c r="L105" s="285" t="s">
        <v>114</v>
      </c>
      <c r="M105" s="285"/>
      <c r="N105" s="285"/>
      <c r="O105" s="285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86" t="s">
        <v>119</v>
      </c>
      <c r="R107" s="286"/>
    </row>
    <row r="108" spans="5:18" x14ac:dyDescent="0.25">
      <c r="E108" s="89"/>
      <c r="F108" s="89"/>
      <c r="G108" s="89"/>
      <c r="H108" s="89"/>
      <c r="I108" s="89"/>
      <c r="J108" s="89"/>
      <c r="K108" s="5"/>
      <c r="L108" s="279" t="s">
        <v>114</v>
      </c>
      <c r="M108" s="279"/>
      <c r="N108" s="279"/>
      <c r="O108" s="279"/>
      <c r="P108" s="85" t="s">
        <v>115</v>
      </c>
      <c r="Q108" s="85"/>
      <c r="R108" s="85"/>
    </row>
    <row r="109" spans="5:18" x14ac:dyDescent="0.25">
      <c r="L109" s="277" t="s">
        <v>120</v>
      </c>
      <c r="M109" s="277"/>
      <c r="N109" s="96"/>
      <c r="P109" s="97"/>
      <c r="Q109" s="98"/>
      <c r="R109" s="99"/>
    </row>
    <row r="110" spans="5:18" x14ac:dyDescent="0.25">
      <c r="L110" s="278"/>
      <c r="M110" s="278"/>
      <c r="N110" s="96"/>
      <c r="P110" s="100"/>
      <c r="Q110" s="101"/>
      <c r="R110" s="102" t="s">
        <v>121</v>
      </c>
    </row>
    <row r="111" spans="5:18" x14ac:dyDescent="0.25">
      <c r="L111" s="279" t="s">
        <v>114</v>
      </c>
      <c r="M111" s="279"/>
      <c r="N111" s="279"/>
      <c r="O111" s="279"/>
      <c r="P111" s="85" t="s">
        <v>115</v>
      </c>
    </row>
  </sheetData>
  <mergeCells count="74"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P13:R13"/>
    <mergeCell ref="E14:F14"/>
    <mergeCell ref="H14:N14"/>
    <mergeCell ref="P14:R14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2022-06-28T00:30:37Z</dcterms:modified>
</cp:coreProperties>
</file>