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acts_ks2_etl\"/>
    </mc:Choice>
  </mc:AlternateContent>
  <xr:revisionPtr revIDLastSave="0" documentId="13_ncr:1_{A36D98C9-AFB1-4793-8F1F-527DDE64ED98}" xr6:coauthVersionLast="37" xr6:coauthVersionMax="3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  <sheet name="Лист2" sheetId="8" r:id="rId2"/>
    <sheet name="Виды ошибок" sheetId="6" r:id="rId3"/>
    <sheet name="Цели" sheetId="2" r:id="rId4"/>
    <sheet name="строк кода" sheetId="5" r:id="rId5"/>
    <sheet name="Лист1 (2)" sheetId="7" r:id="rId6"/>
  </sheets>
  <definedNames>
    <definedName name="END_ITOG" localSheetId="5">'Лист1 (2)'!$E$98:$E$98</definedName>
    <definedName name="END_ITOG">Лист1!$E$102:$E$102</definedName>
    <definedName name="END_LINE" localSheetId="5">'Лист1 (2)'!$E$79:$E$79</definedName>
    <definedName name="END_LINE">Лист1!$E$79:$E$79</definedName>
    <definedName name="END_PODPIS" localSheetId="5">'Лист1 (2)'!#REF!</definedName>
    <definedName name="END_PODPIS">Лист1!#REF!</definedName>
    <definedName name="NAME_34" localSheetId="5">'Лист1 (2)'!$G:$H</definedName>
    <definedName name="NAME_34">Лист1!$G:$H</definedName>
    <definedName name="NUMBER_LINE" localSheetId="5">'Лист1 (2)'!$57:$57</definedName>
    <definedName name="NUMBER_LINE">Лист1!$57:$57</definedName>
    <definedName name="START_PODPIS" localSheetId="5">'Лист1 (2)'!#REF!</definedName>
    <definedName name="START_PODPIS">Лист1!#REF!</definedName>
    <definedName name="_xlnm.Print_Titles" localSheetId="0">Лист1!$57:$57</definedName>
    <definedName name="_xlnm.Print_Titles" localSheetId="5">'Лист1 (2)'!$57:$57</definedName>
  </definedNames>
  <calcPr calcId="179021"/>
</workbook>
</file>

<file path=xl/calcChain.xml><?xml version="1.0" encoding="utf-8"?>
<calcChain xmlns="http://schemas.openxmlformats.org/spreadsheetml/2006/main">
  <c r="A16" i="5" l="1"/>
  <c r="A15" i="5" l="1"/>
  <c r="A14" i="5" l="1"/>
  <c r="A13" i="5" l="1"/>
</calcChain>
</file>

<file path=xl/sharedStrings.xml><?xml version="1.0" encoding="utf-8"?>
<sst xmlns="http://schemas.openxmlformats.org/spreadsheetml/2006/main" count="356" uniqueCount="177">
  <si>
    <t xml:space="preserve"> 13 243,796  тыс. руб.</t>
  </si>
  <si>
    <t xml:space="preserve"> Составлен(а) в ценах 2001 г. с учетом коэффициентов пересчета к базисной стоимости СМР в текущий уровень цен базисно-индексным метод за I квартал 2021 года </t>
  </si>
  <si>
    <t>01.07.2021</t>
  </si>
  <si>
    <t>02-01.2-3005С-2С-И1/1/07/2021</t>
  </si>
  <si>
    <t>0322005</t>
  </si>
  <si>
    <t>06-01-150-01</t>
  </si>
  <si>
    <t>08844275</t>
  </si>
  <si>
    <t>1</t>
  </si>
  <si>
    <t>100 м</t>
  </si>
  <si>
    <t>2</t>
  </si>
  <si>
    <t>23.07.2018</t>
  </si>
  <si>
    <t>23.5.02.02-0085</t>
  </si>
  <si>
    <t>3</t>
  </si>
  <si>
    <t>31.07.2021</t>
  </si>
  <si>
    <t>40/26566-Д</t>
  </si>
  <si>
    <t>48546926</t>
  </si>
  <si>
    <t>4а</t>
  </si>
  <si>
    <t>57302715</t>
  </si>
  <si>
    <t>57466221</t>
  </si>
  <si>
    <t>AKT</t>
  </si>
  <si>
    <t>АО "Концерн Росэнергоатом" 109507, Россия, г. Москва, Ферганская ул, 25, (81369) 55984</t>
  </si>
  <si>
    <t>АО АСЭ 603006, Россия, Нижегородская обл., г. Нижний Новгород, Свободы пл, 3, (495) 7379037</t>
  </si>
  <si>
    <t>Вид деятельности по ОКДП</t>
  </si>
  <si>
    <t>Вид операции</t>
  </si>
  <si>
    <t>Визы:</t>
  </si>
  <si>
    <t>Всего с НР и СП</t>
  </si>
  <si>
    <t>Всего с НР и СП (базисный уровень цен с к = 1,04)</t>
  </si>
  <si>
    <t>Всего с НР и СП (текущий уровень цен с к = 1,04)</t>
  </si>
  <si>
    <t>Генподрядчик</t>
  </si>
  <si>
    <t>Глава 2</t>
  </si>
  <si>
    <t>Дата составления</t>
  </si>
  <si>
    <t>Договор подряда</t>
  </si>
  <si>
    <t>Доп. соглашение</t>
  </si>
  <si>
    <t>Ед. изм.</t>
  </si>
  <si>
    <t>ЗП машинистов</t>
  </si>
  <si>
    <t>ЗТР всего чел.-час</t>
  </si>
  <si>
    <t>Заказчик (Инвестор)</t>
  </si>
  <si>
    <t>Заказчик-застройщик</t>
  </si>
  <si>
    <t>Зарплата</t>
  </si>
  <si>
    <t>Затраты труда</t>
  </si>
  <si>
    <t>Инв. №</t>
  </si>
  <si>
    <t>Итого за вычетом давальческих материалов</t>
  </si>
  <si>
    <t>Итого по акту:</t>
  </si>
  <si>
    <t>Итого с К = 1</t>
  </si>
  <si>
    <t>Итого с зимним удорожанием</t>
  </si>
  <si>
    <t>Каналообразователи из металлической трубы (вертикальные) 1п.м..=2320руб., без НДС  Ц=2320/6,48=358,02р  индекс 2 кв 2019г.,  Курской обл., по виду строительства "Прочие объекты":  К=6,48</t>
  </si>
  <si>
    <t>Код</t>
  </si>
  <si>
    <t>Кол-во единиц</t>
  </si>
  <si>
    <t>Коэфф. пересчета</t>
  </si>
  <si>
    <t>Курская АЭС-2. Энергоблоки №1 и №2. г. Курчатов, Курской обл. Энергоблок №2.</t>
  </si>
  <si>
    <t>ЛСР 02-01.2-4С вп. (20UJA-CCA0015), п.524</t>
  </si>
  <si>
    <t>ЛСР 02-01.2-4С вп. (20UJA-CCA0015), п.524 Приложение А (обязательное) п.10.2. (л. 5.7).  Соглашение №40/27518-Д  от 26.09.2018г. Спецификация №1.    Книга KUR-P110204-BAA0093 KUR-CCA0209  стр.31-36</t>
  </si>
  <si>
    <t>МП</t>
  </si>
  <si>
    <t>Материальные ресурсы</t>
  </si>
  <si>
    <t>Монтаж каналообразователей стальных (вертикальных)</t>
  </si>
  <si>
    <t>НР от ФОТ</t>
  </si>
  <si>
    <t>Наименование работ и затрат</t>
  </si>
  <si>
    <t>Накладные расходы</t>
  </si>
  <si>
    <t>Начальник СО</t>
  </si>
  <si>
    <t>Номер</t>
  </si>
  <si>
    <t>Номер документа</t>
  </si>
  <si>
    <t>О ПРИЕМКЕ ВЫПОЛНЕННЫХ РАБОТ</t>
  </si>
  <si>
    <t>ООО "Трест РосСЭМ" 603006, Россия, Нижегородская обл., г. Нижний Новгород, Свободы пл, 3, 916 6683523</t>
  </si>
  <si>
    <t>ОСР 02-01.2 РЕАКТОРНОЕ ЗДАНИЕ (20UJA)</t>
  </si>
  <si>
    <t>Объект</t>
  </si>
  <si>
    <t>Основная ЗП рабочих</t>
  </si>
  <si>
    <t>Основные объекты строительства</t>
  </si>
  <si>
    <t>Отчетный период</t>
  </si>
  <si>
    <t>Показатели в связи с изменением стоимости выполненных работ. оказанных услуг</t>
  </si>
  <si>
    <t>Поправочные коэфф.</t>
  </si>
  <si>
    <t>Принял: Генподрядчик:</t>
  </si>
  <si>
    <t>Производство работ в зимнее время 4%</t>
  </si>
  <si>
    <t>Прямые затраты</t>
  </si>
  <si>
    <t>Пункт коэфф. пересчета</t>
  </si>
  <si>
    <t>Раздел: Раскладка каналообразователей</t>
  </si>
  <si>
    <t>Раздел: Реакторное здание (20UJA). ВЗО. Раскладка вертикальных каналообразователей купола.</t>
  </si>
  <si>
    <t>Реакторное здание (20UJA). ВЗО. Раскладка вертикальных каналообразователей купола.</t>
  </si>
  <si>
    <t>СМР</t>
  </si>
  <si>
    <t>СП от ФОТ</t>
  </si>
  <si>
    <t>Сдал: Субподрядчик:</t>
  </si>
  <si>
    <t>Смета № 02-01.2-3005С-2С-И1 (взамен 02-01.2-3005С)</t>
  </si>
  <si>
    <t>Сметная прибыль</t>
  </si>
  <si>
    <t>Сметная стоимость по локальной смете (в ц.2000г.)</t>
  </si>
  <si>
    <t>Стоимость в текущих ценах</t>
  </si>
  <si>
    <t>Стоимость в ценах 2001г.</t>
  </si>
  <si>
    <t>Стоимость давальческих материалов</t>
  </si>
  <si>
    <t>Стоимость материальных ресурсов (всего)</t>
  </si>
  <si>
    <t>Стоимость работ, выполненных с начала выполнения работ (в ц.2000г.)</t>
  </si>
  <si>
    <t>Стройка</t>
  </si>
  <si>
    <t>Субподрядчик</t>
  </si>
  <si>
    <t>Трубы стальные электросварные прямошовные со снятой фаской из стали марок БСт2кп-БСт4кп и БСт2пс-БСт4пс наружный диаметр 219 мм, толщина стенки 4 мм</t>
  </si>
  <si>
    <t>Трудозатраты машинистов</t>
  </si>
  <si>
    <t>Трудозатраты строителей</t>
  </si>
  <si>
    <t>ФЕР-2001, 06-01-150-01, приказ Минстроя России №1039/пр от 30.12.2016г.</t>
  </si>
  <si>
    <t>ФССЦ-2001, 23.5.02.02-0085, приказ Минстроя России №1039/пр от 30.12.2016г.</t>
  </si>
  <si>
    <t>Филиал АО "Концерн Росэнергоатом" "Курская атомная станция" 307250, Россия, Курская обл., г. Курчатов, (47131) 53565 (47131) 54385</t>
  </si>
  <si>
    <t>Форма по ОКУД</t>
  </si>
  <si>
    <t>Цена на ед. изм.</t>
  </si>
  <si>
    <t>Шифр расценки и коды ресурсов</t>
  </si>
  <si>
    <t>Эксплуатация машин</t>
  </si>
  <si>
    <t>в т.ч. зарплата машинистов</t>
  </si>
  <si>
    <t>дата</t>
  </si>
  <si>
    <t>м</t>
  </si>
  <si>
    <t>номер</t>
  </si>
  <si>
    <t>п.м.</t>
  </si>
  <si>
    <t>по</t>
  </si>
  <si>
    <t>по ОКПО</t>
  </si>
  <si>
    <t>поз. по сме-те</t>
  </si>
  <si>
    <t>с</t>
  </si>
  <si>
    <t>№ п/п</t>
  </si>
  <si>
    <t xml:space="preserve">Директор Курского филиала ООО «Трест РосСЭМ»        </t>
  </si>
  <si>
    <t>Е.А. Шевченко</t>
  </si>
  <si>
    <t xml:space="preserve">    С.В.Шепель</t>
  </si>
  <si>
    <t>подпись                                расшифровка подписи</t>
  </si>
  <si>
    <t>подпись</t>
  </si>
  <si>
    <t>расшифровка подписи</t>
  </si>
  <si>
    <t>Доверенность №516 от 13.05.2021г.</t>
  </si>
  <si>
    <t>Начальник  УСР</t>
  </si>
  <si>
    <t>А.Н. Пономарев</t>
  </si>
  <si>
    <t>М.Н.Воробьева</t>
  </si>
  <si>
    <t>Заместитель директора по комплектации и снабжению</t>
  </si>
  <si>
    <t xml:space="preserve">Н.С. Ирхин </t>
  </si>
  <si>
    <t>Заместитель директора по экономике и финансам Курского филиала АО "АСЭ"</t>
  </si>
  <si>
    <t>И.И.Другов</t>
  </si>
  <si>
    <t>Доверенность  №77/805-н/77-2021-5-847 от 03.06.2021г.</t>
  </si>
  <si>
    <t>Исполнитель</t>
  </si>
  <si>
    <t>ООО "Корпорация АК"ЭСКМ" 350911 г. Краснодар, ул. Трамвайная, д.5 тел. 231-18-70</t>
  </si>
  <si>
    <t>47472841</t>
  </si>
  <si>
    <t>2-4 июня</t>
  </si>
  <si>
    <t xml:space="preserve"> 4,000  тыс. руб.</t>
  </si>
  <si>
    <t>5-7 июня</t>
  </si>
  <si>
    <t>Дополнительно:</t>
  </si>
  <si>
    <t>7 июня</t>
  </si>
  <si>
    <t>6-9 июня</t>
  </si>
  <si>
    <t>9 июня</t>
  </si>
  <si>
    <t>Идентификация данных листа на пригодность к сборке</t>
  </si>
  <si>
    <t>Итоги КС-2: логика определения точных адресов нужных ячеек в Excel</t>
  </si>
  <si>
    <t>Шапка КС-2: логика определения точных адресов нужных ячеек в Excel</t>
  </si>
  <si>
    <t>Итоги КС-2: сбор данных</t>
  </si>
  <si>
    <t>Шапка КС-2: сбор данных</t>
  </si>
  <si>
    <t>8 июня</t>
  </si>
  <si>
    <t>Цикл перебора файлов: отсев файлов если нет нужного листа (опционально: листов может быть несколько)</t>
  </si>
  <si>
    <t>Цикл перебора файлов: отсев файлов по атрибутам файла (наименование, расширение файла)</t>
  </si>
  <si>
    <t>Цель</t>
  </si>
  <si>
    <t>Красивое форматирование результата в Excel</t>
  </si>
  <si>
    <t>Програмная оболочка, способная принять от пользовател адрес папки, где нужно собрать информацию</t>
  </si>
  <si>
    <t>Опубликовать код программы на github.com (чтобы другие люди смогли его получить при необходимости)</t>
  </si>
  <si>
    <t>11 июня</t>
  </si>
  <si>
    <t>10-11 июня</t>
  </si>
  <si>
    <t>нет</t>
  </si>
  <si>
    <t>Ошибка в логике программы, сообщающая о необходимости исправить код программы: ячейка в Excel с содержимым '{}' будет причиной подобных ошибок, пока не станет типом Required::Y чтобы…</t>
  </si>
  <si>
    <t>Ошибка чтения calamine типо .get_string(), .get_float()</t>
  </si>
  <si>
    <t>transform</t>
  </si>
  <si>
    <t>Даты</t>
  </si>
  <si>
    <t>Выбор интрументария для записи, пробная запись в Excel абстрактных данных</t>
  </si>
  <si>
    <t>Запись в Excel: пробная: данные только одного файла</t>
  </si>
  <si>
    <t>Запись в Excel: финальная (все файлы в папке)</t>
  </si>
  <si>
    <t>Строк кода суммарно</t>
  </si>
  <si>
    <r>
      <t xml:space="preserve">Логики представления итогов. Этап первый: 17-ть стандартных итоговых строк.
</t>
    </r>
    <r>
      <rPr>
        <u/>
        <sz val="11"/>
        <rFont val="Calibri"/>
        <family val="2"/>
        <charset val="204"/>
        <scheme val="minor"/>
      </rPr>
      <t>Описание:</t>
    </r>
    <r>
      <rPr>
        <sz val="11"/>
        <rFont val="Calibri"/>
        <family val="2"/>
        <scheme val="minor"/>
      </rPr>
      <t xml:space="preserve"> нужен код, который будет назначать длину таблицы по горизонтали в зависимости от количества строк в итогах. Обычно итоги имеют 17 строк, но если какой-то акт имеет 16, 18, 0 или, скажем, 40 строк в итогах, то нужна какая-то логика, чтобы соотнести эти 40 строк одного акта с 17 строками других актов. Нужно закодировать, как можно не сокращать эти 40 строк до 17 стандартных и выдать информацию пользователю без потерь.</t>
    </r>
  </si>
  <si>
    <t>Ввывод с пояснениями  для пользователя: список несобранных файлов и описание возможных причин сбоя.</t>
  </si>
  <si>
    <t>не приступал</t>
  </si>
  <si>
    <t>пустой</t>
  </si>
  <si>
    <t>12-14 июня</t>
  </si>
  <si>
    <t>пустой БЦ</t>
  </si>
  <si>
    <t>пустой ТЦ</t>
  </si>
  <si>
    <t>Sheet::new() возвращает ошибки в main</t>
  </si>
  <si>
    <t>main</t>
  </si>
  <si>
    <t>все четко и работает как надо</t>
  </si>
  <si>
    <t>"Отсуствует запрошенный лист"</t>
  </si>
  <si>
    <t>"Лист не содержит всех необходимых данных"</t>
  </si>
  <si>
    <t>Логики представления итогов. Этап второй: нестандартные итоги</t>
  </si>
  <si>
    <t>"Не удалось получить начало диапазона листа"</t>
  </si>
  <si>
    <t>"Нетипичное заглавие (шапка) КС-2"</t>
  </si>
  <si>
    <t>15-16 июля</t>
  </si>
  <si>
    <t>Есть имя</t>
  </si>
  <si>
    <t>Пустая строка не найдена</t>
  </si>
  <si>
    <t>Есть цена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</si>
</sst>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Times New Roman"/>
      <family val="1"/>
    </font>
    <font>
      <i/>
      <sz val="11"/>
      <color rgb="FF000000"/>
      <name val="Times New Roman"/>
      <family val="1"/>
    </font>
    <font>
      <b/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sz val="11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b/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0"/>
      <name val="Times New Roman"/>
      <family val="1"/>
      <charset val="204"/>
    </font>
    <font>
      <i/>
      <sz val="10"/>
      <name val="Arial"/>
      <family val="2"/>
      <charset val="204"/>
    </font>
    <font>
      <sz val="11"/>
      <name val="Times New Roman"/>
      <family val="1"/>
      <charset val="204"/>
    </font>
    <font>
      <b/>
      <sz val="11"/>
      <color rgb="FF00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name val="Calibri"/>
      <family val="2"/>
      <charset val="204"/>
      <scheme val="minor"/>
    </font>
    <font>
      <i/>
      <sz val="9"/>
      <color rgb="FF00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10" fillId="0" borderId="0"/>
  </cellStyleXfs>
  <cellXfs count="291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4" fontId="1" fillId="0" borderId="0" xfId="0" applyNumberFormat="1" applyFont="1" applyAlignment="1">
      <alignment horizontal="right" vertical="top"/>
    </xf>
    <xf numFmtId="3" fontId="1" fillId="0" borderId="0" xfId="0" applyNumberFormat="1" applyFont="1" applyAlignment="1">
      <alignment horizontal="right" vertical="top"/>
    </xf>
    <xf numFmtId="0" fontId="1" fillId="0" borderId="0" xfId="0" applyFont="1"/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left" vertical="top" wrapText="1"/>
    </xf>
    <xf numFmtId="4" fontId="2" fillId="2" borderId="0" xfId="0" applyNumberFormat="1" applyFont="1" applyFill="1" applyAlignment="1">
      <alignment horizontal="right" vertical="top"/>
    </xf>
    <xf numFmtId="1" fontId="2" fillId="2" borderId="0" xfId="0" applyNumberFormat="1" applyFont="1" applyFill="1" applyAlignment="1">
      <alignment horizontal="left" vertical="top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4" fontId="2" fillId="2" borderId="0" xfId="0" applyNumberFormat="1" applyFont="1" applyFill="1" applyAlignment="1">
      <alignment horizontal="right"/>
    </xf>
    <xf numFmtId="3" fontId="2" fillId="2" borderId="0" xfId="0" applyNumberFormat="1" applyFont="1" applyFill="1" applyAlignment="1">
      <alignment horizontal="right"/>
    </xf>
    <xf numFmtId="14" fontId="2" fillId="2" borderId="0" xfId="0" applyNumberFormat="1" applyFont="1" applyFill="1" applyAlignment="1">
      <alignment horizontal="right"/>
    </xf>
    <xf numFmtId="0" fontId="2" fillId="0" borderId="1" xfId="0" applyFont="1" applyBorder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2" fillId="2" borderId="1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right" vertical="center" wrapText="1"/>
    </xf>
    <xf numFmtId="4" fontId="2" fillId="2" borderId="0" xfId="0" applyNumberFormat="1" applyFont="1" applyFill="1" applyAlignment="1">
      <alignment horizontal="right" vertical="center"/>
    </xf>
    <xf numFmtId="3" fontId="2" fillId="2" borderId="0" xfId="0" applyNumberFormat="1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2" borderId="2" xfId="0" applyFont="1" applyFill="1" applyBorder="1" applyAlignment="1">
      <alignment horizontal="right" vertical="center" wrapText="1"/>
    </xf>
    <xf numFmtId="0" fontId="2" fillId="2" borderId="2" xfId="0" applyFont="1" applyFill="1" applyBorder="1" applyAlignment="1">
      <alignment horizontal="right" vertical="center"/>
    </xf>
    <xf numFmtId="4" fontId="2" fillId="2" borderId="2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1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4" fontId="1" fillId="2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top" wrapText="1"/>
    </xf>
    <xf numFmtId="0" fontId="2" fillId="2" borderId="0" xfId="0" applyFont="1" applyFill="1" applyAlignment="1">
      <alignment vertical="top" wrapText="1"/>
    </xf>
    <xf numFmtId="0" fontId="2" fillId="2" borderId="2" xfId="0" applyFont="1" applyFill="1" applyBorder="1" applyAlignment="1">
      <alignment vertical="top" wrapText="1"/>
    </xf>
    <xf numFmtId="0" fontId="1" fillId="2" borderId="5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left" vertical="top"/>
    </xf>
    <xf numFmtId="0" fontId="5" fillId="2" borderId="0" xfId="0" applyFont="1" applyFill="1" applyAlignment="1">
      <alignment horizontal="left" vertical="center"/>
    </xf>
    <xf numFmtId="0" fontId="1" fillId="0" borderId="0" xfId="0" applyFont="1" applyAlignment="1">
      <alignment wrapText="1"/>
    </xf>
    <xf numFmtId="3" fontId="4" fillId="0" borderId="0" xfId="0" applyNumberFormat="1" applyFont="1" applyAlignment="1">
      <alignment horizontal="right"/>
    </xf>
    <xf numFmtId="4" fontId="4" fillId="0" borderId="0" xfId="0" applyNumberFormat="1" applyFont="1" applyAlignment="1">
      <alignment horizontal="right"/>
    </xf>
    <xf numFmtId="3" fontId="5" fillId="0" borderId="0" xfId="0" applyNumberFormat="1" applyFont="1" applyAlignment="1">
      <alignment horizontal="right" vertical="center" wrapText="1"/>
    </xf>
    <xf numFmtId="3" fontId="1" fillId="0" borderId="0" xfId="0" applyNumberFormat="1" applyFont="1" applyAlignment="1">
      <alignment horizontal="right" wrapText="1"/>
    </xf>
    <xf numFmtId="4" fontId="1" fillId="0" borderId="0" xfId="0" applyNumberFormat="1" applyFont="1" applyAlignment="1">
      <alignment horizontal="right" wrapText="1"/>
    </xf>
    <xf numFmtId="0" fontId="1" fillId="0" borderId="0" xfId="0" applyFont="1" applyAlignment="1">
      <alignment horizontal="left" vertical="center"/>
    </xf>
    <xf numFmtId="3" fontId="4" fillId="0" borderId="0" xfId="0" applyNumberFormat="1" applyFont="1"/>
    <xf numFmtId="4" fontId="4" fillId="0" borderId="0" xfId="0" applyNumberFormat="1" applyFont="1"/>
    <xf numFmtId="3" fontId="5" fillId="0" borderId="0" xfId="0" applyNumberFormat="1" applyFont="1"/>
    <xf numFmtId="3" fontId="7" fillId="0" borderId="0" xfId="0" applyNumberFormat="1" applyFont="1"/>
    <xf numFmtId="0" fontId="1" fillId="0" borderId="14" xfId="0" applyFont="1" applyBorder="1"/>
    <xf numFmtId="0" fontId="1" fillId="0" borderId="14" xfId="0" applyFont="1" applyBorder="1" applyAlignment="1">
      <alignment horizontal="left" vertical="center"/>
    </xf>
    <xf numFmtId="0" fontId="1" fillId="0" borderId="14" xfId="0" applyFont="1" applyBorder="1" applyAlignment="1">
      <alignment horizontal="right" wrapText="1"/>
    </xf>
    <xf numFmtId="3" fontId="1" fillId="0" borderId="14" xfId="0" applyNumberFormat="1" applyFont="1" applyBorder="1" applyAlignment="1">
      <alignment horizontal="right" wrapText="1"/>
    </xf>
    <xf numFmtId="4" fontId="1" fillId="0" borderId="14" xfId="0" applyNumberFormat="1" applyFont="1" applyBorder="1" applyAlignment="1">
      <alignment horizontal="right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3" fontId="8" fillId="0" borderId="0" xfId="0" applyNumberFormat="1" applyFont="1"/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right" wrapText="1"/>
    </xf>
    <xf numFmtId="0" fontId="9" fillId="0" borderId="0" xfId="0" applyFont="1" applyAlignment="1">
      <alignment horizontal="right"/>
    </xf>
    <xf numFmtId="3" fontId="9" fillId="0" borderId="0" xfId="0" applyNumberFormat="1" applyFont="1" applyAlignment="1">
      <alignment horizontal="right"/>
    </xf>
    <xf numFmtId="3" fontId="9" fillId="0" borderId="0" xfId="0" applyNumberFormat="1" applyFont="1" applyAlignment="1">
      <alignment horizontal="right" vertical="top"/>
    </xf>
    <xf numFmtId="4" fontId="9" fillId="0" borderId="0" xfId="0" applyNumberFormat="1" applyFont="1" applyAlignment="1">
      <alignment horizontal="right" vertical="top"/>
    </xf>
    <xf numFmtId="0" fontId="11" fillId="0" borderId="5" xfId="1" applyFont="1" applyBorder="1" applyAlignment="1">
      <alignment horizontal="right"/>
    </xf>
    <xf numFmtId="0" fontId="10" fillId="3" borderId="0" xfId="1" applyFill="1"/>
    <xf numFmtId="0" fontId="11" fillId="3" borderId="0" xfId="1" applyFont="1" applyFill="1"/>
    <xf numFmtId="0" fontId="11" fillId="0" borderId="0" xfId="1" applyFont="1"/>
    <xf numFmtId="0" fontId="12" fillId="0" borderId="0" xfId="1" applyFont="1" applyAlignment="1">
      <alignment vertical="top"/>
    </xf>
    <xf numFmtId="0" fontId="12" fillId="0" borderId="0" xfId="1" applyFont="1"/>
    <xf numFmtId="0" fontId="13" fillId="0" borderId="0" xfId="1" applyFont="1"/>
    <xf numFmtId="0" fontId="10" fillId="0" borderId="0" xfId="1"/>
    <xf numFmtId="0" fontId="10" fillId="0" borderId="0" xfId="1" applyAlignment="1">
      <alignment horizontal="right"/>
    </xf>
    <xf numFmtId="0" fontId="10" fillId="0" borderId="14" xfId="1" applyBorder="1"/>
    <xf numFmtId="0" fontId="1" fillId="0" borderId="5" xfId="0" applyFont="1" applyBorder="1"/>
    <xf numFmtId="0" fontId="11" fillId="0" borderId="14" xfId="1" applyFont="1" applyBorder="1"/>
    <xf numFmtId="0" fontId="9" fillId="0" borderId="5" xfId="0" applyFont="1" applyBorder="1"/>
    <xf numFmtId="0" fontId="11" fillId="0" borderId="5" xfId="1" applyFont="1" applyBorder="1" applyAlignment="1">
      <alignment horizontal="right"/>
    </xf>
    <xf numFmtId="4" fontId="1" fillId="0" borderId="0" xfId="0" applyNumberFormat="1" applyFont="1" applyAlignment="1">
      <alignment vertical="top" wrapText="1"/>
    </xf>
    <xf numFmtId="0" fontId="1" fillId="0" borderId="0" xfId="0" applyFont="1" applyBorder="1" applyAlignment="1">
      <alignment horizontal="right"/>
    </xf>
    <xf numFmtId="3" fontId="1" fillId="0" borderId="0" xfId="0" applyNumberFormat="1" applyFont="1" applyBorder="1" applyAlignment="1">
      <alignment horizontal="right" vertical="top"/>
    </xf>
    <xf numFmtId="4" fontId="1" fillId="0" borderId="0" xfId="0" applyNumberFormat="1" applyFont="1" applyBorder="1" applyAlignment="1">
      <alignment horizontal="right" vertical="top"/>
    </xf>
    <xf numFmtId="0" fontId="1" fillId="0" borderId="5" xfId="0" applyFont="1" applyBorder="1" applyAlignment="1">
      <alignment horizontal="right"/>
    </xf>
    <xf numFmtId="3" fontId="1" fillId="0" borderId="5" xfId="0" applyNumberFormat="1" applyFont="1" applyBorder="1" applyAlignment="1">
      <alignment horizontal="right" vertical="top"/>
    </xf>
    <xf numFmtId="4" fontId="1" fillId="0" borderId="5" xfId="0" applyNumberFormat="1" applyFont="1" applyBorder="1" applyAlignment="1">
      <alignment horizontal="right" vertical="top"/>
    </xf>
    <xf numFmtId="0" fontId="1" fillId="0" borderId="0" xfId="0" applyFont="1" applyAlignment="1">
      <alignment horizontal="left" vertical="top" wrapText="1"/>
    </xf>
    <xf numFmtId="0" fontId="1" fillId="4" borderId="0" xfId="0" applyFont="1" applyFill="1" applyAlignment="1">
      <alignment horizontal="left" vertical="center"/>
    </xf>
    <xf numFmtId="3" fontId="5" fillId="0" borderId="0" xfId="0" applyNumberFormat="1" applyFont="1" applyFill="1"/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Font="1" applyBorder="1" applyAlignment="1">
      <alignment vertical="center"/>
    </xf>
    <xf numFmtId="0" fontId="14" fillId="4" borderId="12" xfId="0" applyFont="1" applyFill="1" applyBorder="1" applyAlignment="1">
      <alignment vertical="center"/>
    </xf>
    <xf numFmtId="0" fontId="14" fillId="4" borderId="5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14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left" vertical="top"/>
    </xf>
    <xf numFmtId="3" fontId="2" fillId="5" borderId="0" xfId="0" applyNumberFormat="1" applyFont="1" applyFill="1" applyAlignment="1">
      <alignment horizontal="right" vertical="center"/>
    </xf>
    <xf numFmtId="0" fontId="14" fillId="5" borderId="0" xfId="0" applyNumberFormat="1" applyFont="1" applyFill="1" applyBorder="1" applyAlignment="1" applyProtection="1">
      <alignment vertical="center"/>
    </xf>
    <xf numFmtId="3" fontId="5" fillId="6" borderId="0" xfId="0" applyNumberFormat="1" applyFont="1" applyFill="1"/>
    <xf numFmtId="3" fontId="1" fillId="6" borderId="0" xfId="0" applyNumberFormat="1" applyFont="1" applyFill="1" applyAlignment="1">
      <alignment horizontal="right"/>
    </xf>
    <xf numFmtId="3" fontId="7" fillId="6" borderId="0" xfId="0" applyNumberFormat="1" applyFont="1" applyFill="1"/>
    <xf numFmtId="3" fontId="4" fillId="6" borderId="0" xfId="0" applyNumberFormat="1" applyFont="1" applyFill="1"/>
    <xf numFmtId="3" fontId="1" fillId="6" borderId="0" xfId="0" applyNumberFormat="1" applyFont="1" applyFill="1" applyAlignment="1">
      <alignment horizontal="right" vertical="top"/>
    </xf>
    <xf numFmtId="0" fontId="1" fillId="6" borderId="0" xfId="0" applyFont="1" applyFill="1" applyAlignment="1">
      <alignment horizontal="left" vertical="center"/>
    </xf>
    <xf numFmtId="3" fontId="2" fillId="7" borderId="0" xfId="0" applyNumberFormat="1" applyFont="1" applyFill="1" applyAlignment="1">
      <alignment horizontal="righ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14" fontId="1" fillId="0" borderId="0" xfId="0" applyNumberFormat="1" applyFont="1" applyAlignment="1">
      <alignment vertical="top"/>
    </xf>
    <xf numFmtId="0" fontId="1" fillId="4" borderId="0" xfId="0" applyFont="1" applyFill="1" applyAlignment="1">
      <alignment vertical="top" wrapText="1"/>
    </xf>
    <xf numFmtId="3" fontId="1" fillId="0" borderId="0" xfId="0" applyNumberFormat="1" applyFont="1" applyAlignment="1">
      <alignment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11" fillId="0" borderId="5" xfId="1" applyFont="1" applyBorder="1" applyAlignment="1">
      <alignment horizontal="right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top" wrapText="1"/>
    </xf>
    <xf numFmtId="0" fontId="0" fillId="5" borderId="1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 wrapText="1"/>
    </xf>
    <xf numFmtId="0" fontId="0" fillId="0" borderId="1" xfId="0" applyBorder="1" applyAlignment="1">
      <alignment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14" fillId="7" borderId="0" xfId="0" applyNumberFormat="1" applyFont="1" applyFill="1" applyBorder="1" applyAlignment="1" applyProtection="1">
      <alignment vertical="center"/>
    </xf>
    <xf numFmtId="0" fontId="18" fillId="0" borderId="0" xfId="0" applyFont="1" applyAlignment="1">
      <alignment horizontal="right" vertical="top" wrapText="1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top" wrapText="1"/>
    </xf>
    <xf numFmtId="0" fontId="0" fillId="8" borderId="0" xfId="0" applyFill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horizontal="center" vertical="top" wrapText="1"/>
    </xf>
    <xf numFmtId="0" fontId="0" fillId="8" borderId="1" xfId="0" applyFill="1" applyBorder="1" applyAlignment="1">
      <alignment horizontal="center" vertical="top"/>
    </xf>
    <xf numFmtId="4" fontId="1" fillId="0" borderId="0" xfId="0" applyNumberFormat="1" applyFont="1" applyAlignment="1">
      <alignment horizontal="left" vertical="top" wrapText="1"/>
    </xf>
    <xf numFmtId="4" fontId="1" fillId="0" borderId="14" xfId="0" applyNumberFormat="1" applyFont="1" applyBorder="1" applyAlignment="1">
      <alignment horizontal="left" vertical="top" wrapText="1"/>
    </xf>
    <xf numFmtId="0" fontId="11" fillId="0" borderId="15" xfId="1" applyFont="1" applyBorder="1" applyAlignment="1">
      <alignment horizontal="center" wrapText="1"/>
    </xf>
    <xf numFmtId="0" fontId="12" fillId="0" borderId="0" xfId="1" applyFont="1" applyAlignment="1">
      <alignment horizontal="left" vertical="top" wrapText="1"/>
    </xf>
    <xf numFmtId="0" fontId="10" fillId="3" borderId="0" xfId="1" applyFill="1" applyAlignment="1">
      <alignment horizontal="left" wrapText="1"/>
    </xf>
    <xf numFmtId="0" fontId="10" fillId="0" borderId="0" xfId="1" applyAlignment="1">
      <alignment horizontal="left"/>
    </xf>
    <xf numFmtId="0" fontId="11" fillId="0" borderId="5" xfId="1" applyFont="1" applyBorder="1" applyAlignment="1">
      <alignment horizontal="left"/>
    </xf>
    <xf numFmtId="0" fontId="11" fillId="0" borderId="14" xfId="1" applyFont="1" applyBorder="1" applyAlignment="1">
      <alignment horizontal="right"/>
    </xf>
    <xf numFmtId="0" fontId="11" fillId="0" borderId="0" xfId="1" applyFont="1" applyAlignment="1">
      <alignment horizontal="center"/>
    </xf>
    <xf numFmtId="0" fontId="11" fillId="0" borderId="5" xfId="1" applyFont="1" applyBorder="1" applyAlignment="1">
      <alignment horizontal="right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49" fontId="2" fillId="2" borderId="4" xfId="0" applyNumberFormat="1" applyFont="1" applyFill="1" applyBorder="1" applyAlignment="1">
      <alignment horizontal="center" vertical="center"/>
    </xf>
    <xf numFmtId="49" fontId="2" fillId="2" borderId="12" xfId="0" applyNumberFormat="1" applyFont="1" applyFill="1" applyBorder="1" applyAlignment="1">
      <alignment horizontal="center" vertical="center"/>
    </xf>
    <xf numFmtId="49" fontId="2" fillId="2" borderId="6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left" vertical="center" wrapText="1"/>
    </xf>
    <xf numFmtId="49" fontId="2" fillId="0" borderId="4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49" fontId="14" fillId="0" borderId="4" xfId="0" applyNumberFormat="1" applyFont="1" applyBorder="1" applyAlignment="1">
      <alignment horizontal="center" vertical="center"/>
    </xf>
    <xf numFmtId="49" fontId="14" fillId="0" borderId="12" xfId="0" applyNumberFormat="1" applyFont="1" applyBorder="1" applyAlignment="1">
      <alignment horizontal="center" vertical="center"/>
    </xf>
    <xf numFmtId="49" fontId="14" fillId="0" borderId="6" xfId="0" applyNumberFormat="1" applyFont="1" applyBorder="1" applyAlignment="1">
      <alignment horizontal="center" vertical="center"/>
    </xf>
    <xf numFmtId="0" fontId="2" fillId="4" borderId="12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left" vertical="center" wrapText="1"/>
    </xf>
    <xf numFmtId="0" fontId="1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right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left" vertical="center" wrapText="1"/>
    </xf>
    <xf numFmtId="14" fontId="2" fillId="4" borderId="4" xfId="0" applyNumberFormat="1" applyFont="1" applyFill="1" applyBorder="1" applyAlignment="1">
      <alignment horizontal="center" vertical="center"/>
    </xf>
    <xf numFmtId="14" fontId="2" fillId="4" borderId="12" xfId="0" applyNumberFormat="1" applyFont="1" applyFill="1" applyBorder="1" applyAlignment="1">
      <alignment horizontal="center" vertical="center"/>
    </xf>
    <xf numFmtId="14" fontId="2" fillId="4" borderId="6" xfId="0" applyNumberFormat="1" applyFont="1" applyFill="1" applyBorder="1" applyAlignment="1">
      <alignment horizontal="center" vertical="center"/>
    </xf>
    <xf numFmtId="14" fontId="2" fillId="2" borderId="4" xfId="0" applyNumberFormat="1" applyFont="1" applyFill="1" applyBorder="1" applyAlignment="1">
      <alignment horizontal="center" vertical="center"/>
    </xf>
    <xf numFmtId="14" fontId="2" fillId="2" borderId="12" xfId="0" applyNumberFormat="1" applyFont="1" applyFill="1" applyBorder="1" applyAlignment="1">
      <alignment horizontal="center" vertical="center"/>
    </xf>
    <xf numFmtId="14" fontId="2" fillId="2" borderId="6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wrapText="1"/>
    </xf>
    <xf numFmtId="0" fontId="1" fillId="0" borderId="0" xfId="0" applyFont="1" applyAlignment="1">
      <alignment horizontal="right"/>
    </xf>
    <xf numFmtId="4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 vertical="top"/>
    </xf>
    <xf numFmtId="4" fontId="1" fillId="0" borderId="0" xfId="0" applyNumberFormat="1" applyFont="1" applyAlignment="1">
      <alignment horizontal="right" vertical="top"/>
    </xf>
    <xf numFmtId="0" fontId="10" fillId="0" borderId="0" xfId="1" applyAlignment="1">
      <alignment horizontal="left" wrapText="1"/>
    </xf>
    <xf numFmtId="0" fontId="9" fillId="0" borderId="5" xfId="0" applyFont="1" applyBorder="1" applyAlignment="1">
      <alignment horizontal="left" wrapText="1"/>
    </xf>
    <xf numFmtId="0" fontId="11" fillId="0" borderId="2" xfId="1" applyFont="1" applyBorder="1" applyAlignment="1">
      <alignment horizontal="left"/>
    </xf>
    <xf numFmtId="0" fontId="9" fillId="0" borderId="0" xfId="0" applyFont="1" applyAlignment="1">
      <alignment horizontal="left" wrapText="1"/>
    </xf>
    <xf numFmtId="0" fontId="9" fillId="0" borderId="5" xfId="0" applyFont="1" applyBorder="1" applyAlignment="1">
      <alignment horizontal="right" wrapText="1"/>
    </xf>
    <xf numFmtId="0" fontId="11" fillId="0" borderId="2" xfId="1" applyFont="1" applyBorder="1" applyAlignment="1">
      <alignment horizontal="center"/>
    </xf>
    <xf numFmtId="0" fontId="2" fillId="7" borderId="0" xfId="0" applyFont="1" applyFill="1" applyAlignment="1">
      <alignment horizontal="left" vertical="center"/>
    </xf>
    <xf numFmtId="0" fontId="2" fillId="7" borderId="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7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7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 panose="020F0502020204030204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E1:V115"/>
  <sheetViews>
    <sheetView tabSelected="1" topLeftCell="A79" zoomScale="70" zoomScaleNormal="70" zoomScaleSheetLayoutView="100" workbookViewId="0">
      <selection activeCell="A100" sqref="A100:XFD100"/>
    </sheetView>
  </sheetViews>
  <sheetFormatPr defaultColWidth="9.109375" defaultRowHeight="13.2" x14ac:dyDescent="0.25"/>
  <cols>
    <col min="1" max="4" width="9.109375" style="5"/>
    <col min="5" max="5" width="12.6640625" style="1" customWidth="1"/>
    <col min="6" max="6" width="6.5546875" style="1" customWidth="1"/>
    <col min="7" max="7" width="21.109375" style="2" customWidth="1"/>
    <col min="8" max="8" width="46.6640625" style="42" customWidth="1"/>
    <col min="9" max="9" width="18.6640625" style="42" customWidth="1"/>
    <col min="10" max="10" width="14" style="13" customWidth="1"/>
    <col min="11" max="11" width="14.5546875" style="14" customWidth="1"/>
    <col min="12" max="12" width="14.6640625" style="15" customWidth="1"/>
    <col min="13" max="13" width="14" style="14" customWidth="1"/>
    <col min="14" max="14" width="15.109375" style="16" customWidth="1"/>
    <col min="15" max="15" width="17.6640625" style="14" customWidth="1"/>
    <col min="16" max="16" width="12.33203125" style="14" customWidth="1"/>
    <col min="17" max="17" width="13.88671875" style="4" customWidth="1"/>
    <col min="18" max="18" width="14.6640625" style="3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1" spans="5:20" x14ac:dyDescent="0.25">
      <c r="E1" s="134"/>
      <c r="F1" s="134"/>
      <c r="G1" s="135"/>
      <c r="H1" s="136"/>
      <c r="I1" s="136"/>
      <c r="J1" s="137"/>
      <c r="K1" s="138"/>
      <c r="L1" s="139"/>
      <c r="M1" s="138"/>
      <c r="N1" s="140"/>
      <c r="O1" s="138"/>
      <c r="P1" s="138"/>
      <c r="Q1" s="141"/>
      <c r="R1" s="142"/>
    </row>
    <row r="2" spans="5:20" x14ac:dyDescent="0.25">
      <c r="E2" s="134"/>
      <c r="F2" s="134"/>
      <c r="G2" s="135"/>
      <c r="H2" s="136"/>
      <c r="I2" s="136"/>
      <c r="J2" s="137"/>
      <c r="K2" s="138"/>
      <c r="L2" s="139"/>
      <c r="M2" s="138"/>
      <c r="N2" s="140"/>
      <c r="O2" s="138"/>
      <c r="P2" s="138"/>
      <c r="Q2" s="141"/>
      <c r="R2" s="142"/>
    </row>
    <row r="3" spans="5:20" x14ac:dyDescent="0.25">
      <c r="E3" s="134"/>
      <c r="F3" s="134"/>
      <c r="G3" s="135"/>
      <c r="H3" s="136"/>
      <c r="I3" s="136"/>
      <c r="J3" s="137"/>
      <c r="K3" s="138"/>
      <c r="L3" s="139"/>
      <c r="M3" s="138"/>
      <c r="N3" s="140"/>
      <c r="O3" s="138"/>
      <c r="P3" s="138"/>
      <c r="Q3" s="141"/>
      <c r="R3" s="142"/>
    </row>
    <row r="4" spans="5:20" x14ac:dyDescent="0.25">
      <c r="E4" s="134"/>
      <c r="F4" s="134"/>
      <c r="G4" s="135"/>
      <c r="H4" s="136"/>
      <c r="I4" s="136"/>
      <c r="J4" s="137"/>
      <c r="K4" s="138"/>
      <c r="L4" s="139"/>
      <c r="M4" s="138"/>
      <c r="N4" s="140"/>
      <c r="O4" s="138"/>
      <c r="P4" s="138"/>
      <c r="Q4" s="141"/>
      <c r="R4" s="142"/>
    </row>
    <row r="5" spans="5:20" x14ac:dyDescent="0.25">
      <c r="E5" s="134"/>
      <c r="F5" s="134"/>
      <c r="G5" s="135"/>
      <c r="H5" s="136"/>
      <c r="I5" s="136"/>
      <c r="J5" s="137"/>
      <c r="K5" s="138"/>
      <c r="L5" s="139"/>
      <c r="M5" s="138"/>
      <c r="N5" s="140"/>
      <c r="O5" s="138"/>
      <c r="P5" s="138"/>
      <c r="Q5" s="141"/>
      <c r="R5" s="142"/>
    </row>
    <row r="6" spans="5:20" ht="13.8" x14ac:dyDescent="0.25">
      <c r="E6" s="25"/>
      <c r="F6" s="25"/>
      <c r="G6" s="7"/>
      <c r="H6" s="43"/>
      <c r="I6" s="43"/>
      <c r="J6" s="26"/>
      <c r="K6" s="29"/>
      <c r="L6" s="27"/>
      <c r="M6" s="29"/>
      <c r="N6" s="28"/>
      <c r="O6" s="29"/>
      <c r="P6" s="207" t="s">
        <v>46</v>
      </c>
      <c r="Q6" s="208"/>
      <c r="R6" s="209"/>
    </row>
    <row r="7" spans="5:20" ht="13.8" x14ac:dyDescent="0.25">
      <c r="E7" s="25"/>
      <c r="F7" s="25"/>
      <c r="G7" s="7"/>
      <c r="H7" s="43"/>
      <c r="I7" s="43"/>
      <c r="J7" s="26"/>
      <c r="K7" s="29"/>
      <c r="L7" s="27"/>
      <c r="M7" s="29"/>
      <c r="N7" s="28"/>
      <c r="O7" s="29" t="s">
        <v>96</v>
      </c>
      <c r="P7" s="207" t="s">
        <v>4</v>
      </c>
      <c r="Q7" s="208"/>
      <c r="R7" s="209"/>
    </row>
    <row r="8" spans="5:20" ht="13.8" x14ac:dyDescent="0.25">
      <c r="E8" s="25"/>
      <c r="F8" s="25"/>
      <c r="G8" s="7"/>
      <c r="H8" s="43"/>
      <c r="I8" s="43"/>
      <c r="J8" s="26"/>
      <c r="K8" s="29"/>
      <c r="L8" s="27"/>
      <c r="M8" s="29"/>
      <c r="N8" s="28"/>
      <c r="O8" s="29"/>
      <c r="P8" s="207"/>
      <c r="Q8" s="208"/>
      <c r="R8" s="209"/>
    </row>
    <row r="9" spans="5:20" ht="15" customHeight="1" x14ac:dyDescent="0.25">
      <c r="E9" s="210" t="s">
        <v>36</v>
      </c>
      <c r="F9" s="210"/>
      <c r="G9" s="210"/>
      <c r="H9" s="211" t="s">
        <v>20</v>
      </c>
      <c r="I9" s="211"/>
      <c r="J9" s="211"/>
      <c r="K9" s="211"/>
      <c r="L9" s="211"/>
      <c r="M9" s="211"/>
      <c r="N9" s="211"/>
      <c r="O9" s="29" t="s">
        <v>106</v>
      </c>
      <c r="P9" s="212" t="s">
        <v>6</v>
      </c>
      <c r="Q9" s="213"/>
      <c r="R9" s="214"/>
    </row>
    <row r="10" spans="5:20" ht="24.9" customHeight="1" x14ac:dyDescent="0.25">
      <c r="E10" s="210" t="s">
        <v>37</v>
      </c>
      <c r="F10" s="210"/>
      <c r="G10" s="210"/>
      <c r="H10" s="215" t="s">
        <v>95</v>
      </c>
      <c r="I10" s="215"/>
      <c r="J10" s="215"/>
      <c r="K10" s="215"/>
      <c r="L10" s="215"/>
      <c r="M10" s="215"/>
      <c r="N10" s="215"/>
      <c r="O10" s="29" t="s">
        <v>106</v>
      </c>
      <c r="P10" s="216" t="s">
        <v>18</v>
      </c>
      <c r="Q10" s="217"/>
      <c r="R10" s="218"/>
    </row>
    <row r="11" spans="5:20" ht="24.9" customHeight="1" x14ac:dyDescent="0.25">
      <c r="E11" s="210" t="s">
        <v>28</v>
      </c>
      <c r="F11" s="210"/>
      <c r="G11" s="210"/>
      <c r="H11" s="219" t="s">
        <v>21</v>
      </c>
      <c r="I11" s="219"/>
      <c r="J11" s="219"/>
      <c r="K11" s="219"/>
      <c r="L11" s="219"/>
      <c r="M11" s="219"/>
      <c r="N11" s="219"/>
      <c r="O11" s="29" t="s">
        <v>106</v>
      </c>
      <c r="P11" s="212" t="s">
        <v>15</v>
      </c>
      <c r="Q11" s="213"/>
      <c r="R11" s="214"/>
    </row>
    <row r="12" spans="5:20" ht="24.9" customHeight="1" x14ac:dyDescent="0.25">
      <c r="E12" s="220" t="s">
        <v>89</v>
      </c>
      <c r="F12" s="220"/>
      <c r="G12" s="220"/>
      <c r="H12" s="219" t="s">
        <v>62</v>
      </c>
      <c r="I12" s="219"/>
      <c r="J12" s="219"/>
      <c r="K12" s="219"/>
      <c r="L12" s="219"/>
      <c r="M12" s="219"/>
      <c r="N12" s="219"/>
      <c r="O12" s="29" t="s">
        <v>106</v>
      </c>
      <c r="P12" s="221" t="s">
        <v>17</v>
      </c>
      <c r="Q12" s="221"/>
      <c r="R12" s="221"/>
    </row>
    <row r="13" spans="5:20" ht="24.9" customHeight="1" x14ac:dyDescent="0.25">
      <c r="E13" s="182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3" t="s">
        <v>127</v>
      </c>
      <c r="Q13" s="224"/>
      <c r="R13" s="225"/>
    </row>
    <row r="14" spans="5:20" ht="13.8" x14ac:dyDescent="0.25">
      <c r="E14" s="222" t="s">
        <v>88</v>
      </c>
      <c r="F14" s="222"/>
      <c r="G14" s="7"/>
      <c r="H14" s="215" t="s">
        <v>49</v>
      </c>
      <c r="I14" s="215"/>
      <c r="J14" s="215"/>
      <c r="K14" s="215"/>
      <c r="L14" s="215"/>
      <c r="M14" s="215"/>
      <c r="N14" s="215"/>
      <c r="O14" s="29"/>
      <c r="P14" s="212"/>
      <c r="Q14" s="213"/>
      <c r="R14" s="214"/>
    </row>
    <row r="15" spans="5:20" ht="13.8" x14ac:dyDescent="0.25">
      <c r="E15" s="210" t="s">
        <v>29</v>
      </c>
      <c r="F15" s="210"/>
      <c r="G15" s="210"/>
      <c r="H15" s="226" t="s">
        <v>66</v>
      </c>
      <c r="I15" s="226"/>
      <c r="J15" s="226"/>
      <c r="K15" s="226"/>
      <c r="L15" s="226"/>
      <c r="M15" s="226"/>
      <c r="N15" s="226"/>
      <c r="O15" s="29"/>
      <c r="P15" s="227"/>
      <c r="Q15" s="227"/>
      <c r="R15" s="227"/>
      <c r="T15" s="131"/>
    </row>
    <row r="16" spans="5:20" ht="13.8" x14ac:dyDescent="0.25">
      <c r="E16" s="222" t="s">
        <v>64</v>
      </c>
      <c r="F16" s="222"/>
      <c r="G16" s="7"/>
      <c r="H16" s="226" t="s">
        <v>63</v>
      </c>
      <c r="I16" s="226"/>
      <c r="J16" s="226"/>
      <c r="K16" s="226"/>
      <c r="L16" s="226"/>
      <c r="M16" s="226"/>
      <c r="N16" s="226"/>
      <c r="O16" s="29" t="s">
        <v>40</v>
      </c>
      <c r="P16" s="227"/>
      <c r="Q16" s="227"/>
      <c r="R16" s="227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28" t="s">
        <v>22</v>
      </c>
      <c r="N17" s="228"/>
      <c r="O17" s="229"/>
      <c r="P17" s="212"/>
      <c r="Q17" s="213"/>
      <c r="R17" s="214"/>
    </row>
    <row r="18" spans="5:18" ht="15" customHeight="1" x14ac:dyDescent="0.25">
      <c r="E18" s="230" t="s">
        <v>80</v>
      </c>
      <c r="F18" s="231"/>
      <c r="G18" s="231"/>
      <c r="H18" s="231"/>
      <c r="I18" s="231"/>
      <c r="J18" s="232"/>
      <c r="K18" s="231"/>
      <c r="L18" s="231"/>
      <c r="M18" s="29"/>
      <c r="N18" s="116" t="s">
        <v>31</v>
      </c>
      <c r="O18" s="33" t="s">
        <v>103</v>
      </c>
      <c r="P18" s="233" t="s">
        <v>14</v>
      </c>
      <c r="Q18" s="234"/>
      <c r="R18" s="235"/>
    </row>
    <row r="19" spans="5:18" ht="13.8" x14ac:dyDescent="0.25">
      <c r="E19" s="236" t="s">
        <v>76</v>
      </c>
      <c r="F19" s="231"/>
      <c r="G19" s="231"/>
      <c r="H19" s="231"/>
      <c r="I19" s="231"/>
      <c r="J19" s="232"/>
      <c r="K19" s="231"/>
      <c r="L19" s="231"/>
      <c r="M19" s="228"/>
      <c r="N19" s="229"/>
      <c r="O19" s="34" t="s">
        <v>101</v>
      </c>
      <c r="P19" s="237" t="s">
        <v>10</v>
      </c>
      <c r="Q19" s="238"/>
      <c r="R19" s="239"/>
    </row>
    <row r="20" spans="5:18" ht="13.8" x14ac:dyDescent="0.25">
      <c r="E20" s="37" t="s">
        <v>82</v>
      </c>
      <c r="F20" s="37"/>
      <c r="G20" s="37"/>
      <c r="H20" s="37"/>
      <c r="I20" s="104"/>
      <c r="J20" s="112" t="s">
        <v>0</v>
      </c>
      <c r="K20" s="37"/>
      <c r="L20" s="37"/>
      <c r="M20" s="29"/>
      <c r="N20" s="116" t="s">
        <v>32</v>
      </c>
      <c r="O20" s="33" t="s">
        <v>103</v>
      </c>
      <c r="P20" s="207"/>
      <c r="Q20" s="208"/>
      <c r="R20" s="209"/>
    </row>
    <row r="21" spans="5:18" ht="13.8" x14ac:dyDescent="0.25">
      <c r="E21" s="37" t="s">
        <v>87</v>
      </c>
      <c r="F21" s="37"/>
      <c r="G21" s="37"/>
      <c r="H21" s="37"/>
      <c r="I21" s="104"/>
      <c r="J21" s="112" t="s">
        <v>129</v>
      </c>
      <c r="K21" s="37"/>
      <c r="L21" s="37"/>
      <c r="M21" s="35"/>
      <c r="N21" s="28"/>
      <c r="O21" s="34" t="s">
        <v>101</v>
      </c>
      <c r="P21" s="240"/>
      <c r="Q21" s="241"/>
      <c r="R21" s="242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07" t="s">
        <v>77</v>
      </c>
      <c r="Q22" s="208"/>
      <c r="R22" s="209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29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29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29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29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29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29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29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29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29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29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29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29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29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29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29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29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29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29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29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29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29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29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29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45" t="s">
        <v>60</v>
      </c>
      <c r="K47" s="246"/>
      <c r="L47" s="246"/>
      <c r="M47" s="247"/>
      <c r="N47" s="251" t="s">
        <v>30</v>
      </c>
      <c r="O47" s="243" t="s">
        <v>67</v>
      </c>
      <c r="P47" s="244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48"/>
      <c r="K48" s="249"/>
      <c r="L48" s="249"/>
      <c r="M48" s="250"/>
      <c r="N48" s="252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53" t="s">
        <v>3</v>
      </c>
      <c r="K49" s="254"/>
      <c r="L49" s="254"/>
      <c r="M49" s="255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56" t="s">
        <v>19</v>
      </c>
      <c r="F51" s="256"/>
      <c r="G51" s="256"/>
      <c r="H51" s="256"/>
      <c r="I51" s="256"/>
      <c r="J51" s="256"/>
      <c r="K51" s="256"/>
      <c r="L51" s="256"/>
      <c r="M51" s="256"/>
      <c r="N51" s="256"/>
      <c r="O51" s="256"/>
      <c r="P51" s="256"/>
      <c r="Q51" s="256"/>
      <c r="R51" s="256"/>
    </row>
    <row r="52" spans="5:22" ht="14.25" customHeight="1" x14ac:dyDescent="0.25">
      <c r="E52" s="256" t="s">
        <v>61</v>
      </c>
      <c r="F52" s="256"/>
      <c r="G52" s="256"/>
      <c r="H52" s="256"/>
      <c r="I52" s="256"/>
      <c r="J52" s="256"/>
      <c r="K52" s="256"/>
      <c r="L52" s="256"/>
      <c r="M52" s="256"/>
      <c r="N52" s="256"/>
      <c r="O52" s="256"/>
      <c r="P52" s="256"/>
      <c r="Q52" s="256"/>
      <c r="R52" s="256"/>
    </row>
    <row r="53" spans="5:22" ht="13.5" customHeight="1" x14ac:dyDescent="0.25"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58" t="s">
        <v>59</v>
      </c>
      <c r="F55" s="258"/>
      <c r="G55" s="259" t="s">
        <v>98</v>
      </c>
      <c r="H55" s="260" t="s">
        <v>56</v>
      </c>
      <c r="I55" s="261" t="s">
        <v>68</v>
      </c>
      <c r="J55" s="259" t="s">
        <v>33</v>
      </c>
      <c r="K55" s="259" t="s">
        <v>47</v>
      </c>
      <c r="L55" s="263" t="s">
        <v>97</v>
      </c>
      <c r="M55" s="259" t="s">
        <v>69</v>
      </c>
      <c r="N55" s="264" t="s">
        <v>84</v>
      </c>
      <c r="O55" s="259" t="s">
        <v>73</v>
      </c>
      <c r="P55" s="265" t="s">
        <v>48</v>
      </c>
      <c r="Q55" s="264" t="s">
        <v>83</v>
      </c>
      <c r="R55" s="263" t="s">
        <v>35</v>
      </c>
    </row>
    <row r="56" spans="5:22" ht="41.4" x14ac:dyDescent="0.25">
      <c r="E56" s="46" t="s">
        <v>109</v>
      </c>
      <c r="F56" s="10" t="s">
        <v>107</v>
      </c>
      <c r="G56" s="259"/>
      <c r="H56" s="260"/>
      <c r="I56" s="262"/>
      <c r="J56" s="259"/>
      <c r="K56" s="259"/>
      <c r="L56" s="263"/>
      <c r="M56" s="259"/>
      <c r="N56" s="264"/>
      <c r="O56" s="259"/>
      <c r="P56" s="266"/>
      <c r="Q56" s="264"/>
      <c r="R56" s="263"/>
    </row>
    <row r="57" spans="5:22" ht="13.8" x14ac:dyDescent="0.25">
      <c r="E57" s="11">
        <v>1</v>
      </c>
      <c r="F57" s="11">
        <v>2</v>
      </c>
      <c r="G57" s="46">
        <v>3</v>
      </c>
      <c r="H57" s="46">
        <v>4</v>
      </c>
      <c r="I57" s="46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1">
        <v>13</v>
      </c>
    </row>
    <row r="58" spans="5:22" x14ac:dyDescent="0.25">
      <c r="I58" s="50"/>
      <c r="K58" s="13"/>
      <c r="M58" s="13"/>
      <c r="O58" s="13"/>
      <c r="P58" s="13"/>
      <c r="Q58" s="16"/>
      <c r="R58" s="15"/>
    </row>
    <row r="59" spans="5:22" ht="13.8" x14ac:dyDescent="0.25">
      <c r="E59" s="267" t="s">
        <v>75</v>
      </c>
      <c r="F59" s="268"/>
      <c r="G59" s="269"/>
      <c r="H59" s="270"/>
      <c r="I59" s="270"/>
      <c r="J59" s="271"/>
      <c r="K59" s="272"/>
      <c r="L59" s="273"/>
      <c r="M59" s="272"/>
      <c r="N59" s="274"/>
      <c r="O59" s="272"/>
      <c r="P59" s="272"/>
      <c r="Q59" s="275"/>
      <c r="R59" s="276"/>
    </row>
    <row r="62" spans="5:22" ht="13.8" x14ac:dyDescent="0.25">
      <c r="E62" s="267" t="s">
        <v>74</v>
      </c>
      <c r="F62" s="268"/>
      <c r="G62" s="269"/>
      <c r="H62" s="270"/>
      <c r="I62" s="270"/>
      <c r="J62" s="271"/>
      <c r="K62" s="272"/>
      <c r="L62" s="273"/>
      <c r="M62" s="272"/>
      <c r="N62" s="274"/>
      <c r="O62" s="272"/>
      <c r="P62" s="272"/>
      <c r="Q62" s="275"/>
      <c r="R62" s="276"/>
    </row>
    <row r="64" spans="5:22" ht="52.8" x14ac:dyDescent="0.25">
      <c r="E64" s="1">
        <v>1</v>
      </c>
      <c r="F64" s="1" t="s">
        <v>7</v>
      </c>
      <c r="G64" s="2" t="s">
        <v>93</v>
      </c>
      <c r="H64" s="2" t="s">
        <v>54</v>
      </c>
      <c r="J64" s="53" t="s">
        <v>8</v>
      </c>
      <c r="K64" s="13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3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3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3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3">
        <v>7.39</v>
      </c>
      <c r="Q68" s="54">
        <v>4670365</v>
      </c>
    </row>
    <row r="69" spans="5:18" x14ac:dyDescent="0.25">
      <c r="H69" s="56" t="s">
        <v>55</v>
      </c>
      <c r="K69" s="13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3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">
        <v>2</v>
      </c>
      <c r="F73" s="1" t="s">
        <v>9</v>
      </c>
      <c r="G73" s="2" t="s">
        <v>94</v>
      </c>
      <c r="H73" s="2" t="s">
        <v>90</v>
      </c>
      <c r="J73" s="53" t="s">
        <v>102</v>
      </c>
      <c r="K73" s="13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">
        <v>3</v>
      </c>
      <c r="F76" s="1" t="s">
        <v>12</v>
      </c>
      <c r="G76" s="2" t="s">
        <v>51</v>
      </c>
      <c r="H76" s="2" t="s">
        <v>45</v>
      </c>
      <c r="J76" s="53" t="s">
        <v>104</v>
      </c>
      <c r="K76" s="13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5:18" x14ac:dyDescent="0.25">
      <c r="H81" s="123" t="s">
        <v>72</v>
      </c>
      <c r="N81" s="54">
        <v>4534433</v>
      </c>
      <c r="Q81" s="54">
        <v>26798220</v>
      </c>
    </row>
    <row r="82" spans="5:18" x14ac:dyDescent="0.25">
      <c r="G82" s="103"/>
      <c r="H82" s="125" t="s">
        <v>86</v>
      </c>
      <c r="N82" s="54">
        <v>975202</v>
      </c>
      <c r="Q82" s="54">
        <v>6158979</v>
      </c>
    </row>
    <row r="83" spans="5:18" x14ac:dyDescent="0.25">
      <c r="G83" s="103"/>
      <c r="H83" s="56" t="s">
        <v>99</v>
      </c>
      <c r="N83" s="54">
        <v>3221482</v>
      </c>
      <c r="Q83" s="54">
        <v>8730216</v>
      </c>
    </row>
    <row r="84" spans="5:18" x14ac:dyDescent="0.25">
      <c r="E84" s="175"/>
      <c r="F84" s="175"/>
      <c r="G84" s="176" t="s">
        <v>163</v>
      </c>
      <c r="H84" s="56" t="s">
        <v>99</v>
      </c>
      <c r="I84" s="177"/>
      <c r="J84" s="178"/>
      <c r="K84" s="179"/>
      <c r="L84" s="180"/>
      <c r="M84" s="179"/>
      <c r="N84" s="54"/>
      <c r="O84" s="179"/>
      <c r="P84" s="179"/>
      <c r="Q84" s="54">
        <v>8730216</v>
      </c>
      <c r="R84" s="181"/>
    </row>
    <row r="85" spans="5:18" x14ac:dyDescent="0.25">
      <c r="E85" s="152"/>
      <c r="F85" s="152"/>
      <c r="G85" s="153" t="s">
        <v>164</v>
      </c>
      <c r="H85" s="56" t="s">
        <v>99</v>
      </c>
      <c r="I85" s="154"/>
      <c r="J85" s="155"/>
      <c r="K85" s="156"/>
      <c r="L85" s="157"/>
      <c r="M85" s="156"/>
      <c r="N85" s="54">
        <v>3221482</v>
      </c>
      <c r="O85" s="156"/>
      <c r="P85" s="156"/>
      <c r="Q85" s="54"/>
      <c r="R85" s="160"/>
    </row>
    <row r="86" spans="5:18" x14ac:dyDescent="0.25">
      <c r="E86" s="175"/>
      <c r="F86" s="175"/>
      <c r="G86" s="176" t="s">
        <v>161</v>
      </c>
      <c r="H86" s="56" t="s">
        <v>99</v>
      </c>
      <c r="I86" s="177"/>
      <c r="J86" s="178"/>
      <c r="K86" s="179"/>
      <c r="L86" s="180"/>
      <c r="M86" s="179"/>
      <c r="N86" s="54"/>
      <c r="O86" s="179"/>
      <c r="P86" s="179"/>
      <c r="Q86" s="54"/>
      <c r="R86" s="181"/>
    </row>
    <row r="87" spans="5:18" x14ac:dyDescent="0.25">
      <c r="E87" s="184"/>
      <c r="F87" s="184"/>
      <c r="G87" s="185"/>
      <c r="H87" s="56"/>
      <c r="I87" s="186"/>
      <c r="J87" s="187"/>
      <c r="K87" s="188"/>
      <c r="L87" s="189"/>
      <c r="M87" s="188"/>
      <c r="N87" s="54"/>
      <c r="O87" s="188"/>
      <c r="P87" s="188"/>
      <c r="Q87" s="54"/>
      <c r="R87" s="190"/>
    </row>
    <row r="88" spans="5:18" x14ac:dyDescent="0.25">
      <c r="G88" s="103"/>
      <c r="H88" s="56" t="s">
        <v>34</v>
      </c>
      <c r="N88" s="54">
        <v>56826</v>
      </c>
      <c r="Q88" s="54">
        <v>2003692</v>
      </c>
    </row>
    <row r="89" spans="5:18" x14ac:dyDescent="0.25">
      <c r="E89" s="143"/>
      <c r="F89" s="143"/>
      <c r="G89" s="144"/>
      <c r="H89" s="56" t="s">
        <v>65</v>
      </c>
      <c r="I89" s="145"/>
      <c r="J89" s="146"/>
      <c r="K89" s="147"/>
      <c r="L89" s="148"/>
      <c r="M89" s="147"/>
      <c r="N89" s="54">
        <v>337749</v>
      </c>
      <c r="O89" s="147"/>
      <c r="P89" s="147"/>
      <c r="Q89" s="54">
        <v>11909025</v>
      </c>
      <c r="R89" s="149"/>
    </row>
    <row r="90" spans="5:18" ht="13.8" x14ac:dyDescent="0.3">
      <c r="G90" s="103"/>
      <c r="H90" s="60" t="s">
        <v>92</v>
      </c>
      <c r="N90" s="60">
        <v>30873</v>
      </c>
      <c r="Q90" s="120">
        <v>30873</v>
      </c>
    </row>
    <row r="91" spans="5:18" ht="13.8" x14ac:dyDescent="0.3">
      <c r="G91" s="103"/>
      <c r="H91" s="57" t="s">
        <v>91</v>
      </c>
      <c r="N91" s="60">
        <v>4208</v>
      </c>
      <c r="Q91" s="120">
        <v>4208</v>
      </c>
    </row>
    <row r="92" spans="5:18" x14ac:dyDescent="0.25">
      <c r="G92" s="103"/>
      <c r="H92" s="56" t="s">
        <v>57</v>
      </c>
      <c r="N92" s="54">
        <v>414304</v>
      </c>
      <c r="Q92" s="54">
        <v>14608353</v>
      </c>
    </row>
    <row r="93" spans="5:18" x14ac:dyDescent="0.25">
      <c r="G93" s="103"/>
      <c r="H93" s="56" t="s">
        <v>81</v>
      </c>
      <c r="N93" s="54">
        <v>256474</v>
      </c>
      <c r="Q93" s="54">
        <v>6463140</v>
      </c>
    </row>
    <row r="94" spans="5:18" x14ac:dyDescent="0.25">
      <c r="G94" s="103"/>
      <c r="H94" s="57" t="s">
        <v>25</v>
      </c>
      <c r="N94" s="57">
        <v>5205211</v>
      </c>
      <c r="Q94" s="57">
        <v>47869713</v>
      </c>
    </row>
    <row r="95" spans="5:18" x14ac:dyDescent="0.25">
      <c r="G95" s="103"/>
      <c r="H95" s="57" t="s">
        <v>85</v>
      </c>
      <c r="N95" s="119"/>
      <c r="Q95" s="57">
        <v>3867389</v>
      </c>
    </row>
    <row r="96" spans="5:18" x14ac:dyDescent="0.25">
      <c r="G96" s="103"/>
      <c r="H96" s="56" t="s">
        <v>41</v>
      </c>
      <c r="N96" s="57">
        <v>5205211</v>
      </c>
      <c r="Q96" s="121">
        <v>44002324</v>
      </c>
    </row>
    <row r="97" spans="5:18" x14ac:dyDescent="0.25">
      <c r="G97" s="103"/>
      <c r="H97" s="118" t="s">
        <v>43</v>
      </c>
      <c r="Q97" s="105">
        <v>44002324</v>
      </c>
    </row>
    <row r="98" spans="5:18" x14ac:dyDescent="0.25">
      <c r="G98" s="103"/>
      <c r="H98" s="59" t="s">
        <v>71</v>
      </c>
      <c r="N98" s="59">
        <v>208208</v>
      </c>
      <c r="Q98" s="59">
        <v>1760093</v>
      </c>
    </row>
    <row r="99" spans="5:18" x14ac:dyDescent="0.25">
      <c r="G99" s="103"/>
      <c r="H99" s="57" t="s">
        <v>44</v>
      </c>
      <c r="N99" s="57">
        <v>5413419</v>
      </c>
      <c r="Q99" s="57">
        <v>45762417</v>
      </c>
    </row>
    <row r="100" spans="5:18" x14ac:dyDescent="0.25">
      <c r="G100" s="103"/>
      <c r="H100" s="57" t="s">
        <v>26</v>
      </c>
      <c r="N100" s="57">
        <v>5413419</v>
      </c>
      <c r="Q100" s="122"/>
    </row>
    <row r="101" spans="5:18" x14ac:dyDescent="0.25">
      <c r="G101" s="103"/>
      <c r="H101" s="57" t="s">
        <v>27</v>
      </c>
      <c r="N101" s="119"/>
      <c r="Q101" s="57">
        <v>45762417</v>
      </c>
    </row>
    <row r="103" spans="5:18" ht="12.75" customHeight="1" x14ac:dyDescent="0.25">
      <c r="E103" s="73" t="s">
        <v>79</v>
      </c>
      <c r="F103" s="74"/>
      <c r="G103" s="75"/>
      <c r="H103" s="76"/>
      <c r="I103" s="76"/>
      <c r="J103" s="77"/>
      <c r="K103" s="78"/>
      <c r="L103" s="73" t="s">
        <v>70</v>
      </c>
      <c r="M103" s="78"/>
      <c r="N103" s="79"/>
      <c r="O103" s="78"/>
      <c r="P103" s="78"/>
      <c r="Q103" s="80"/>
      <c r="R103" s="81"/>
    </row>
    <row r="104" spans="5:18" ht="27" customHeight="1" x14ac:dyDescent="0.25">
      <c r="E104" s="278" t="s">
        <v>110</v>
      </c>
      <c r="F104" s="278"/>
      <c r="G104" s="278"/>
      <c r="H104" s="82" t="s">
        <v>111</v>
      </c>
      <c r="I104" s="83"/>
      <c r="J104" s="83"/>
      <c r="K104" s="5"/>
      <c r="L104" s="278" t="s">
        <v>122</v>
      </c>
      <c r="M104" s="278"/>
      <c r="N104" s="278"/>
      <c r="O104" s="95"/>
      <c r="P104" s="281" t="s">
        <v>123</v>
      </c>
      <c r="Q104" s="281" t="s">
        <v>112</v>
      </c>
      <c r="R104" s="281"/>
    </row>
    <row r="105" spans="5:18" ht="12.75" customHeight="1" x14ac:dyDescent="0.25">
      <c r="E105" s="84" t="s">
        <v>52</v>
      </c>
      <c r="F105" s="84"/>
      <c r="G105" s="84" t="s">
        <v>113</v>
      </c>
      <c r="H105" s="85"/>
      <c r="I105" s="83"/>
      <c r="J105" s="83"/>
      <c r="K105" s="5"/>
      <c r="L105" s="279" t="s">
        <v>52</v>
      </c>
      <c r="M105" s="279"/>
      <c r="N105" s="279" t="s">
        <v>114</v>
      </c>
      <c r="O105" s="279"/>
      <c r="P105" s="282" t="s">
        <v>115</v>
      </c>
      <c r="Q105" s="282"/>
      <c r="R105" s="282"/>
    </row>
    <row r="106" spans="5:18" ht="19.5" customHeight="1" x14ac:dyDescent="0.25">
      <c r="E106" s="86" t="s">
        <v>116</v>
      </c>
      <c r="F106" s="85"/>
      <c r="G106" s="87"/>
      <c r="H106" s="87"/>
      <c r="I106" s="88"/>
      <c r="J106" s="89"/>
      <c r="K106" s="5"/>
      <c r="L106" s="200" t="s">
        <v>124</v>
      </c>
      <c r="M106" s="200"/>
      <c r="N106" s="200"/>
      <c r="O106" s="200"/>
      <c r="P106" s="200"/>
      <c r="Q106" s="200"/>
      <c r="R106" s="200"/>
    </row>
    <row r="107" spans="5:18" x14ac:dyDescent="0.25">
      <c r="E107" s="201"/>
      <c r="F107" s="201"/>
      <c r="G107" s="201"/>
      <c r="H107" s="83"/>
      <c r="I107" s="89"/>
      <c r="J107" s="89"/>
      <c r="K107" s="5"/>
      <c r="L107" s="280" t="s">
        <v>24</v>
      </c>
      <c r="M107" s="280"/>
      <c r="N107" s="280"/>
      <c r="O107" s="89"/>
      <c r="P107" s="89"/>
      <c r="Q107" s="89"/>
      <c r="R107" s="89"/>
    </row>
    <row r="108" spans="5:18" x14ac:dyDescent="0.25">
      <c r="E108" s="277"/>
      <c r="F108" s="277"/>
      <c r="G108" s="277"/>
      <c r="H108" s="89"/>
      <c r="I108" s="89"/>
      <c r="J108" s="89"/>
      <c r="K108" s="5"/>
      <c r="L108" s="203" t="s">
        <v>117</v>
      </c>
      <c r="M108" s="203"/>
      <c r="N108" s="91"/>
      <c r="O108" s="91"/>
      <c r="P108" s="92"/>
      <c r="Q108" s="204" t="s">
        <v>118</v>
      </c>
      <c r="R108" s="204"/>
    </row>
    <row r="109" spans="5:18" x14ac:dyDescent="0.25">
      <c r="E109" s="202"/>
      <c r="F109" s="202"/>
      <c r="G109" s="202"/>
      <c r="H109" s="90"/>
      <c r="I109" s="89"/>
      <c r="J109" s="89"/>
      <c r="K109" s="5"/>
      <c r="L109" s="205" t="s">
        <v>114</v>
      </c>
      <c r="M109" s="205"/>
      <c r="N109" s="205"/>
      <c r="O109" s="205"/>
      <c r="P109" s="85" t="s">
        <v>115</v>
      </c>
      <c r="Q109" s="85"/>
      <c r="R109" s="85"/>
    </row>
    <row r="110" spans="5:18" x14ac:dyDescent="0.25">
      <c r="E110" s="89"/>
      <c r="F110" s="89"/>
      <c r="G110" s="89"/>
      <c r="H110" s="89"/>
      <c r="I110" s="89"/>
      <c r="J110" s="89"/>
      <c r="K110" s="5"/>
      <c r="L110" s="89"/>
      <c r="M110" s="89"/>
      <c r="N110" s="89"/>
      <c r="O110" s="89"/>
      <c r="P110" s="89"/>
      <c r="Q110" s="89"/>
      <c r="R110" s="89"/>
    </row>
    <row r="111" spans="5:18" x14ac:dyDescent="0.25">
      <c r="E111" s="89"/>
      <c r="F111" s="89"/>
      <c r="G111" s="89"/>
      <c r="H111" s="89"/>
      <c r="I111" s="89"/>
      <c r="J111" s="89"/>
      <c r="K111" s="5"/>
      <c r="L111" s="93" t="s">
        <v>58</v>
      </c>
      <c r="M111" s="93"/>
      <c r="N111" s="93"/>
      <c r="O111" s="93"/>
      <c r="P111" s="94"/>
      <c r="Q111" s="206" t="s">
        <v>119</v>
      </c>
      <c r="R111" s="206"/>
    </row>
    <row r="112" spans="5:18" x14ac:dyDescent="0.25">
      <c r="E112" s="89"/>
      <c r="F112" s="89"/>
      <c r="G112" s="89"/>
      <c r="H112" s="89"/>
      <c r="I112" s="89"/>
      <c r="J112" s="89"/>
      <c r="K112" s="5"/>
      <c r="L112" s="199" t="s">
        <v>114</v>
      </c>
      <c r="M112" s="199"/>
      <c r="N112" s="199"/>
      <c r="O112" s="199"/>
      <c r="P112" s="85" t="s">
        <v>115</v>
      </c>
      <c r="Q112" s="85"/>
      <c r="R112" s="85"/>
    </row>
    <row r="113" spans="5:18" x14ac:dyDescent="0.25">
      <c r="E113" s="66"/>
      <c r="F113" s="66"/>
      <c r="G113" s="67"/>
      <c r="H113" s="68"/>
      <c r="I113" s="68"/>
      <c r="J113" s="69"/>
      <c r="K113" s="70"/>
      <c r="L113" s="197" t="s">
        <v>120</v>
      </c>
      <c r="M113" s="197"/>
      <c r="N113" s="96"/>
      <c r="O113" s="70"/>
      <c r="P113" s="97"/>
      <c r="Q113" s="98"/>
      <c r="R113" s="99"/>
    </row>
    <row r="114" spans="5:18" x14ac:dyDescent="0.25">
      <c r="E114" s="66"/>
      <c r="F114" s="66"/>
      <c r="G114" s="67"/>
      <c r="H114" s="68"/>
      <c r="I114" s="68"/>
      <c r="J114" s="69"/>
      <c r="K114" s="70"/>
      <c r="L114" s="198"/>
      <c r="M114" s="198"/>
      <c r="N114" s="96"/>
      <c r="O114" s="70"/>
      <c r="P114" s="100"/>
      <c r="Q114" s="101"/>
      <c r="R114" s="102" t="s">
        <v>121</v>
      </c>
    </row>
    <row r="115" spans="5:18" x14ac:dyDescent="0.25">
      <c r="E115" s="66"/>
      <c r="F115" s="66"/>
      <c r="G115" s="67"/>
      <c r="H115" s="68"/>
      <c r="I115" s="68"/>
      <c r="J115" s="69"/>
      <c r="K115" s="70"/>
      <c r="L115" s="199" t="s">
        <v>114</v>
      </c>
      <c r="M115" s="199"/>
      <c r="N115" s="199"/>
      <c r="O115" s="199"/>
      <c r="P115" s="85" t="s">
        <v>115</v>
      </c>
      <c r="Q115" s="71"/>
      <c r="R115" s="72"/>
    </row>
  </sheetData>
  <mergeCells count="74">
    <mergeCell ref="R55:R56"/>
    <mergeCell ref="E59:R59"/>
    <mergeCell ref="E62:R62"/>
    <mergeCell ref="E108:G108"/>
    <mergeCell ref="L104:N104"/>
    <mergeCell ref="L105:O105"/>
    <mergeCell ref="L107:N107"/>
    <mergeCell ref="E104:G104"/>
    <mergeCell ref="P104:R104"/>
    <mergeCell ref="P105:R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L55:L56"/>
    <mergeCell ref="M55:M56"/>
    <mergeCell ref="N55:N56"/>
    <mergeCell ref="O55:O56"/>
    <mergeCell ref="P55:P56"/>
    <mergeCell ref="Q55:Q56"/>
    <mergeCell ref="P20:R20"/>
    <mergeCell ref="P21:R21"/>
    <mergeCell ref="P22:R22"/>
    <mergeCell ref="O47:P47"/>
    <mergeCell ref="J47:M48"/>
    <mergeCell ref="N47:N48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E14:F14"/>
    <mergeCell ref="H14:N14"/>
    <mergeCell ref="P14:R14"/>
    <mergeCell ref="P13:R13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  <mergeCell ref="L113:M114"/>
    <mergeCell ref="L115:O115"/>
    <mergeCell ref="L106:R106"/>
    <mergeCell ref="E107:G107"/>
    <mergeCell ref="E109:G109"/>
    <mergeCell ref="L108:M108"/>
    <mergeCell ref="Q108:R108"/>
    <mergeCell ref="L109:O109"/>
    <mergeCell ref="Q111:R111"/>
    <mergeCell ref="L112:O112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17DE3-7BE0-4826-A50A-AF494496043E}">
  <dimension ref="A1:E9"/>
  <sheetViews>
    <sheetView workbookViewId="0">
      <selection activeCell="K9" sqref="K9"/>
    </sheetView>
  </sheetViews>
  <sheetFormatPr defaultRowHeight="14.4" x14ac:dyDescent="0.3"/>
  <cols>
    <col min="1" max="3" width="8.88671875" style="191"/>
    <col min="4" max="4" width="8.88671875" style="192"/>
    <col min="5" max="5" width="12.33203125" style="193" customWidth="1"/>
    <col min="6" max="16384" width="8.88671875" style="191"/>
  </cols>
  <sheetData>
    <row r="1" spans="1:5" ht="57.6" x14ac:dyDescent="0.3">
      <c r="B1" s="194" t="s">
        <v>174</v>
      </c>
      <c r="C1" s="195" t="s">
        <v>175</v>
      </c>
      <c r="D1" s="195" t="s">
        <v>176</v>
      </c>
      <c r="E1" s="196"/>
    </row>
    <row r="2" spans="1:5" x14ac:dyDescent="0.3">
      <c r="A2" s="191">
        <v>0</v>
      </c>
      <c r="B2" s="194">
        <v>0</v>
      </c>
      <c r="C2" s="194">
        <v>0</v>
      </c>
      <c r="D2" s="195">
        <v>0</v>
      </c>
      <c r="E2" s="196">
        <v>0</v>
      </c>
    </row>
    <row r="3" spans="1:5" x14ac:dyDescent="0.3">
      <c r="A3" s="191">
        <v>1</v>
      </c>
      <c r="B3" s="194">
        <v>0</v>
      </c>
      <c r="C3" s="194">
        <v>0</v>
      </c>
      <c r="D3" s="195">
        <v>1</v>
      </c>
      <c r="E3" s="196">
        <v>0</v>
      </c>
    </row>
    <row r="4" spans="1:5" x14ac:dyDescent="0.3">
      <c r="A4" s="191">
        <v>2</v>
      </c>
      <c r="B4" s="194">
        <v>0</v>
      </c>
      <c r="C4" s="194">
        <v>1</v>
      </c>
      <c r="D4" s="194">
        <v>0</v>
      </c>
      <c r="E4" s="196">
        <v>0</v>
      </c>
    </row>
    <row r="5" spans="1:5" x14ac:dyDescent="0.3">
      <c r="A5" s="191">
        <v>3</v>
      </c>
      <c r="B5" s="194">
        <v>0</v>
      </c>
      <c r="C5" s="194">
        <v>1</v>
      </c>
      <c r="D5" s="194">
        <v>1</v>
      </c>
      <c r="E5" s="196">
        <v>0</v>
      </c>
    </row>
    <row r="6" spans="1:5" x14ac:dyDescent="0.3">
      <c r="A6" s="191">
        <v>4</v>
      </c>
      <c r="B6" s="194">
        <v>1</v>
      </c>
      <c r="C6" s="194">
        <v>0</v>
      </c>
      <c r="D6" s="194">
        <v>0</v>
      </c>
      <c r="E6" s="196">
        <v>0</v>
      </c>
    </row>
    <row r="7" spans="1:5" x14ac:dyDescent="0.3">
      <c r="A7" s="191">
        <v>5</v>
      </c>
      <c r="B7" s="194">
        <v>1</v>
      </c>
      <c r="C7" s="194">
        <v>0</v>
      </c>
      <c r="D7" s="194">
        <v>1</v>
      </c>
      <c r="E7" s="196">
        <v>1</v>
      </c>
    </row>
    <row r="8" spans="1:5" x14ac:dyDescent="0.3">
      <c r="A8" s="191">
        <v>6</v>
      </c>
      <c r="B8" s="194">
        <v>1</v>
      </c>
      <c r="C8" s="194">
        <v>1</v>
      </c>
      <c r="D8" s="194">
        <v>0</v>
      </c>
      <c r="E8" s="196">
        <v>1</v>
      </c>
    </row>
    <row r="9" spans="1:5" x14ac:dyDescent="0.3">
      <c r="A9" s="191">
        <v>7</v>
      </c>
      <c r="B9" s="194">
        <v>1</v>
      </c>
      <c r="C9" s="194">
        <v>1</v>
      </c>
      <c r="D9" s="195">
        <v>1</v>
      </c>
      <c r="E9" s="19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498B3-534D-4669-AEA0-CA029665BA42}">
  <dimension ref="A1:D8"/>
  <sheetViews>
    <sheetView workbookViewId="0">
      <selection activeCell="A8" sqref="A8"/>
    </sheetView>
  </sheetViews>
  <sheetFormatPr defaultRowHeight="14.4" x14ac:dyDescent="0.3"/>
  <cols>
    <col min="1" max="1" width="67.33203125" style="150" customWidth="1"/>
    <col min="2" max="2" width="16.6640625" style="127" customWidth="1"/>
    <col min="3" max="3" width="67.33203125" style="150" customWidth="1"/>
    <col min="5" max="16384" width="8.88671875" style="127"/>
  </cols>
  <sheetData>
    <row r="1" spans="1:4" x14ac:dyDescent="0.3">
      <c r="A1" s="150" t="s">
        <v>165</v>
      </c>
    </row>
    <row r="2" spans="1:4" x14ac:dyDescent="0.3">
      <c r="A2" s="183" t="s">
        <v>168</v>
      </c>
      <c r="B2" s="127" t="s">
        <v>166</v>
      </c>
    </row>
    <row r="3" spans="1:4" x14ac:dyDescent="0.3">
      <c r="A3" s="183" t="s">
        <v>169</v>
      </c>
      <c r="B3" s="127" t="s">
        <v>166</v>
      </c>
    </row>
    <row r="4" spans="1:4" x14ac:dyDescent="0.3">
      <c r="A4" s="183" t="s">
        <v>172</v>
      </c>
      <c r="B4" s="127" t="s">
        <v>166</v>
      </c>
    </row>
    <row r="5" spans="1:4" x14ac:dyDescent="0.3">
      <c r="A5" s="183" t="s">
        <v>171</v>
      </c>
      <c r="B5" s="127" t="s">
        <v>166</v>
      </c>
    </row>
    <row r="6" spans="1:4" x14ac:dyDescent="0.3">
      <c r="A6" s="183"/>
    </row>
    <row r="7" spans="1:4" ht="43.2" x14ac:dyDescent="0.3">
      <c r="A7" s="150" t="s">
        <v>150</v>
      </c>
      <c r="B7" s="127" t="s">
        <v>152</v>
      </c>
      <c r="C7" s="150" t="s">
        <v>149</v>
      </c>
      <c r="D7" s="127"/>
    </row>
    <row r="8" spans="1:4" x14ac:dyDescent="0.3">
      <c r="A8" s="150" t="s">
        <v>151</v>
      </c>
      <c r="B8" s="127" t="s">
        <v>152</v>
      </c>
      <c r="C8" s="150" t="s">
        <v>167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C7A6-5CA0-445D-887B-2BE432C554B7}">
  <dimension ref="A1:C19"/>
  <sheetViews>
    <sheetView workbookViewId="0">
      <selection activeCell="C11" sqref="C11"/>
    </sheetView>
  </sheetViews>
  <sheetFormatPr defaultRowHeight="14.4" x14ac:dyDescent="0.3"/>
  <cols>
    <col min="1" max="1" width="14.88671875" style="127" customWidth="1"/>
    <col min="2" max="2" width="108.109375" style="127" customWidth="1"/>
    <col min="3" max="3" width="14.109375" style="151" customWidth="1"/>
    <col min="4" max="16384" width="8.88671875" style="127"/>
  </cols>
  <sheetData>
    <row r="1" spans="1:3" s="133" customFormat="1" ht="28.8" x14ac:dyDescent="0.3">
      <c r="A1" s="167" t="s">
        <v>153</v>
      </c>
      <c r="B1" s="167" t="s">
        <v>143</v>
      </c>
      <c r="C1" s="168" t="s">
        <v>157</v>
      </c>
    </row>
    <row r="2" spans="1:3" x14ac:dyDescent="0.3">
      <c r="A2" s="169" t="s">
        <v>128</v>
      </c>
      <c r="B2" s="170" t="s">
        <v>135</v>
      </c>
      <c r="C2" s="171"/>
    </row>
    <row r="3" spans="1:3" x14ac:dyDescent="0.3">
      <c r="A3" s="169" t="s">
        <v>130</v>
      </c>
      <c r="B3" s="170" t="s">
        <v>137</v>
      </c>
      <c r="C3" s="171"/>
    </row>
    <row r="4" spans="1:3" x14ac:dyDescent="0.3">
      <c r="A4" s="169" t="s">
        <v>133</v>
      </c>
      <c r="B4" s="170" t="s">
        <v>154</v>
      </c>
      <c r="C4" s="171"/>
    </row>
    <row r="5" spans="1:3" x14ac:dyDescent="0.3">
      <c r="A5" s="169" t="s">
        <v>132</v>
      </c>
      <c r="B5" s="170" t="s">
        <v>136</v>
      </c>
      <c r="C5" s="171">
        <v>252</v>
      </c>
    </row>
    <row r="6" spans="1:3" s="128" customFormat="1" x14ac:dyDescent="0.3">
      <c r="A6" s="169" t="s">
        <v>140</v>
      </c>
      <c r="B6" s="170" t="s">
        <v>138</v>
      </c>
      <c r="C6" s="172">
        <v>252</v>
      </c>
    </row>
    <row r="7" spans="1:3" s="128" customFormat="1" x14ac:dyDescent="0.3">
      <c r="A7" s="169" t="s">
        <v>134</v>
      </c>
      <c r="B7" s="170" t="s">
        <v>139</v>
      </c>
      <c r="C7" s="172">
        <v>257</v>
      </c>
    </row>
    <row r="8" spans="1:3" x14ac:dyDescent="0.3">
      <c r="A8" s="169" t="s">
        <v>148</v>
      </c>
      <c r="B8" s="170" t="s">
        <v>145</v>
      </c>
      <c r="C8" s="171">
        <v>381</v>
      </c>
    </row>
    <row r="9" spans="1:3" x14ac:dyDescent="0.3">
      <c r="A9" s="169" t="s">
        <v>147</v>
      </c>
      <c r="B9" s="170" t="s">
        <v>146</v>
      </c>
      <c r="C9" s="171">
        <v>381</v>
      </c>
    </row>
    <row r="10" spans="1:3" ht="82.2" customHeight="1" x14ac:dyDescent="0.3">
      <c r="A10" s="169" t="s">
        <v>162</v>
      </c>
      <c r="B10" s="173" t="s">
        <v>158</v>
      </c>
      <c r="C10" s="171">
        <v>533</v>
      </c>
    </row>
    <row r="11" spans="1:3" x14ac:dyDescent="0.3">
      <c r="A11" s="169" t="s">
        <v>173</v>
      </c>
      <c r="B11" s="173" t="s">
        <v>170</v>
      </c>
      <c r="C11" s="171">
        <v>644</v>
      </c>
    </row>
    <row r="12" spans="1:3" x14ac:dyDescent="0.3">
      <c r="A12" s="174" t="s">
        <v>160</v>
      </c>
      <c r="B12" s="170" t="s">
        <v>155</v>
      </c>
      <c r="C12" s="171"/>
    </row>
    <row r="13" spans="1:3" x14ac:dyDescent="0.3">
      <c r="A13" s="174" t="s">
        <v>160</v>
      </c>
      <c r="B13" s="170" t="s">
        <v>142</v>
      </c>
      <c r="C13" s="171"/>
    </row>
    <row r="14" spans="1:3" x14ac:dyDescent="0.3">
      <c r="A14" s="174" t="s">
        <v>160</v>
      </c>
      <c r="B14" s="170" t="s">
        <v>141</v>
      </c>
      <c r="C14" s="171"/>
    </row>
    <row r="15" spans="1:3" x14ac:dyDescent="0.3">
      <c r="A15" s="174" t="s">
        <v>160</v>
      </c>
      <c r="B15" s="170" t="s">
        <v>156</v>
      </c>
      <c r="C15" s="171"/>
    </row>
    <row r="17" spans="1:2" x14ac:dyDescent="0.3">
      <c r="B17" s="132" t="s">
        <v>131</v>
      </c>
    </row>
    <row r="18" spans="1:2" x14ac:dyDescent="0.3">
      <c r="A18" s="174" t="s">
        <v>160</v>
      </c>
      <c r="B18" s="174" t="s">
        <v>159</v>
      </c>
    </row>
    <row r="19" spans="1:2" x14ac:dyDescent="0.3">
      <c r="A19" s="174" t="s">
        <v>160</v>
      </c>
      <c r="B19" s="174" t="s">
        <v>144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13CC7E-121A-43BE-B01A-9F4CBF9484DE}">
  <dimension ref="A7:A16"/>
  <sheetViews>
    <sheetView workbookViewId="0">
      <selection activeCell="A16" sqref="A16"/>
    </sheetView>
  </sheetViews>
  <sheetFormatPr defaultRowHeight="14.4" x14ac:dyDescent="0.3"/>
  <sheetData>
    <row r="7" spans="1:1" x14ac:dyDescent="0.3">
      <c r="A7">
        <v>252</v>
      </c>
    </row>
    <row r="8" spans="1:1" x14ac:dyDescent="0.3">
      <c r="A8">
        <v>252</v>
      </c>
    </row>
    <row r="9" spans="1:1" x14ac:dyDescent="0.3">
      <c r="A9">
        <v>257</v>
      </c>
    </row>
    <row r="10" spans="1:1" x14ac:dyDescent="0.3">
      <c r="A10">
        <v>381</v>
      </c>
    </row>
    <row r="12" spans="1:1" x14ac:dyDescent="0.3">
      <c r="A12">
        <v>443</v>
      </c>
    </row>
    <row r="13" spans="1:1" x14ac:dyDescent="0.3">
      <c r="A13">
        <f>60+186+85+123+80</f>
        <v>534</v>
      </c>
    </row>
    <row r="14" spans="1:1" x14ac:dyDescent="0.3">
      <c r="A14">
        <f>60+190 +80+81+122</f>
        <v>533</v>
      </c>
    </row>
    <row r="15" spans="1:1" x14ac:dyDescent="0.3">
      <c r="A15">
        <f>136+79+85+143+122</f>
        <v>565</v>
      </c>
    </row>
    <row r="16" spans="1:1" x14ac:dyDescent="0.3">
      <c r="A16">
        <f>150+143+144+122+85</f>
        <v>644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77CF6-9C43-45A8-9C1A-822A13F6D752}">
  <sheetPr codeName="Лист2">
    <pageSetUpPr fitToPage="1"/>
  </sheetPr>
  <dimension ref="E6:V111"/>
  <sheetViews>
    <sheetView topLeftCell="A73" zoomScale="70" zoomScaleNormal="70" zoomScaleSheetLayoutView="100" workbookViewId="0">
      <selection activeCell="G91" sqref="G91"/>
    </sheetView>
  </sheetViews>
  <sheetFormatPr defaultColWidth="9.109375" defaultRowHeight="13.2" x14ac:dyDescent="0.25"/>
  <cols>
    <col min="1" max="4" width="9.109375" style="5"/>
    <col min="5" max="5" width="12.6640625" style="152" customWidth="1"/>
    <col min="6" max="6" width="6.5546875" style="152" customWidth="1"/>
    <col min="7" max="7" width="21.109375" style="153" customWidth="1"/>
    <col min="8" max="8" width="46.6640625" style="154" customWidth="1"/>
    <col min="9" max="9" width="18.6640625" style="154" customWidth="1"/>
    <col min="10" max="10" width="14" style="155" customWidth="1"/>
    <col min="11" max="11" width="14.5546875" style="156" customWidth="1"/>
    <col min="12" max="12" width="14.6640625" style="157" customWidth="1"/>
    <col min="13" max="13" width="14" style="156" customWidth="1"/>
    <col min="14" max="14" width="15.109375" style="158" customWidth="1"/>
    <col min="15" max="15" width="17.6640625" style="156" customWidth="1"/>
    <col min="16" max="16" width="12.33203125" style="156" customWidth="1"/>
    <col min="17" max="17" width="13.88671875" style="159" customWidth="1"/>
    <col min="18" max="18" width="14.6640625" style="160" customWidth="1"/>
    <col min="19" max="19" width="9.109375" style="5"/>
    <col min="20" max="20" width="24.21875" style="126" customWidth="1"/>
    <col min="21" max="21" width="15" style="126" customWidth="1"/>
    <col min="22" max="22" width="11.6640625" style="126" customWidth="1"/>
    <col min="23" max="16384" width="9.109375" style="5"/>
  </cols>
  <sheetData>
    <row r="6" spans="5:20" ht="13.8" x14ac:dyDescent="0.25">
      <c r="E6" s="25"/>
      <c r="F6" s="25"/>
      <c r="G6" s="7"/>
      <c r="H6" s="43"/>
      <c r="I6" s="43"/>
      <c r="J6" s="26"/>
      <c r="K6" s="162"/>
      <c r="L6" s="27"/>
      <c r="M6" s="162"/>
      <c r="N6" s="28"/>
      <c r="O6" s="162"/>
      <c r="P6" s="207" t="s">
        <v>46</v>
      </c>
      <c r="Q6" s="208"/>
      <c r="R6" s="209"/>
    </row>
    <row r="7" spans="5:20" ht="13.8" x14ac:dyDescent="0.25">
      <c r="E7" s="25"/>
      <c r="F7" s="25"/>
      <c r="G7" s="7"/>
      <c r="H7" s="43"/>
      <c r="I7" s="43"/>
      <c r="J7" s="26"/>
      <c r="K7" s="162"/>
      <c r="L7" s="27"/>
      <c r="M7" s="162"/>
      <c r="N7" s="28"/>
      <c r="O7" s="162" t="s">
        <v>96</v>
      </c>
      <c r="P7" s="207" t="s">
        <v>4</v>
      </c>
      <c r="Q7" s="208"/>
      <c r="R7" s="209"/>
    </row>
    <row r="8" spans="5:20" ht="13.8" x14ac:dyDescent="0.25">
      <c r="E8" s="25"/>
      <c r="F8" s="25"/>
      <c r="G8" s="7"/>
      <c r="H8" s="43"/>
      <c r="I8" s="43"/>
      <c r="J8" s="26"/>
      <c r="K8" s="162"/>
      <c r="L8" s="27"/>
      <c r="M8" s="162"/>
      <c r="N8" s="28"/>
      <c r="O8" s="162"/>
      <c r="P8" s="207"/>
      <c r="Q8" s="208"/>
      <c r="R8" s="209"/>
    </row>
    <row r="9" spans="5:20" ht="15" customHeight="1" x14ac:dyDescent="0.25">
      <c r="E9" s="210" t="s">
        <v>36</v>
      </c>
      <c r="F9" s="210"/>
      <c r="G9" s="210"/>
      <c r="H9" s="211" t="s">
        <v>20</v>
      </c>
      <c r="I9" s="211"/>
      <c r="J9" s="211"/>
      <c r="K9" s="211"/>
      <c r="L9" s="211"/>
      <c r="M9" s="211"/>
      <c r="N9" s="211"/>
      <c r="O9" s="162" t="s">
        <v>106</v>
      </c>
      <c r="P9" s="212" t="s">
        <v>6</v>
      </c>
      <c r="Q9" s="213"/>
      <c r="R9" s="214"/>
    </row>
    <row r="10" spans="5:20" ht="24.9" customHeight="1" x14ac:dyDescent="0.25">
      <c r="E10" s="210" t="s">
        <v>37</v>
      </c>
      <c r="F10" s="210"/>
      <c r="G10" s="210"/>
      <c r="H10" s="215" t="s">
        <v>95</v>
      </c>
      <c r="I10" s="215"/>
      <c r="J10" s="215"/>
      <c r="K10" s="215"/>
      <c r="L10" s="215"/>
      <c r="M10" s="215"/>
      <c r="N10" s="215"/>
      <c r="O10" s="162" t="s">
        <v>106</v>
      </c>
      <c r="P10" s="216" t="s">
        <v>18</v>
      </c>
      <c r="Q10" s="217"/>
      <c r="R10" s="218"/>
    </row>
    <row r="11" spans="5:20" ht="24.9" customHeight="1" x14ac:dyDescent="0.25">
      <c r="E11" s="210" t="s">
        <v>28</v>
      </c>
      <c r="F11" s="210"/>
      <c r="G11" s="210"/>
      <c r="H11" s="219" t="s">
        <v>21</v>
      </c>
      <c r="I11" s="219"/>
      <c r="J11" s="219"/>
      <c r="K11" s="219"/>
      <c r="L11" s="219"/>
      <c r="M11" s="219"/>
      <c r="N11" s="219"/>
      <c r="O11" s="162" t="s">
        <v>106</v>
      </c>
      <c r="P11" s="212" t="s">
        <v>15</v>
      </c>
      <c r="Q11" s="213"/>
      <c r="R11" s="214"/>
    </row>
    <row r="12" spans="5:20" ht="24.9" customHeight="1" x14ac:dyDescent="0.25">
      <c r="E12" s="220" t="s">
        <v>89</v>
      </c>
      <c r="F12" s="220"/>
      <c r="G12" s="220"/>
      <c r="H12" s="219" t="s">
        <v>62</v>
      </c>
      <c r="I12" s="219"/>
      <c r="J12" s="219"/>
      <c r="K12" s="219"/>
      <c r="L12" s="219"/>
      <c r="M12" s="219"/>
      <c r="N12" s="219"/>
      <c r="O12" s="162" t="s">
        <v>106</v>
      </c>
      <c r="P12" s="221" t="s">
        <v>17</v>
      </c>
      <c r="Q12" s="221"/>
      <c r="R12" s="221"/>
    </row>
    <row r="13" spans="5:20" ht="24.9" customHeight="1" x14ac:dyDescent="0.25">
      <c r="E13" s="117" t="s">
        <v>125</v>
      </c>
      <c r="F13" s="106"/>
      <c r="G13" s="107"/>
      <c r="H13" s="130" t="s">
        <v>126</v>
      </c>
      <c r="I13" s="108"/>
      <c r="J13" s="108"/>
      <c r="K13" s="108"/>
      <c r="L13" s="109"/>
      <c r="M13" s="109"/>
      <c r="N13" s="110"/>
      <c r="O13" s="111" t="s">
        <v>106</v>
      </c>
      <c r="P13" s="223" t="s">
        <v>127</v>
      </c>
      <c r="Q13" s="224"/>
      <c r="R13" s="225"/>
    </row>
    <row r="14" spans="5:20" ht="13.8" x14ac:dyDescent="0.25">
      <c r="E14" s="283" t="s">
        <v>88</v>
      </c>
      <c r="F14" s="283"/>
      <c r="G14" s="7"/>
      <c r="H14" s="215" t="s">
        <v>49</v>
      </c>
      <c r="I14" s="215"/>
      <c r="J14" s="215"/>
      <c r="K14" s="215"/>
      <c r="L14" s="215"/>
      <c r="M14" s="215"/>
      <c r="N14" s="215"/>
      <c r="O14" s="162"/>
      <c r="P14" s="212"/>
      <c r="Q14" s="213"/>
      <c r="R14" s="214"/>
    </row>
    <row r="15" spans="5:20" ht="13.8" x14ac:dyDescent="0.25">
      <c r="E15" s="210" t="s">
        <v>29</v>
      </c>
      <c r="F15" s="210"/>
      <c r="G15" s="210"/>
      <c r="H15" s="226" t="s">
        <v>66</v>
      </c>
      <c r="I15" s="226"/>
      <c r="J15" s="226"/>
      <c r="K15" s="226"/>
      <c r="L15" s="226"/>
      <c r="M15" s="226"/>
      <c r="N15" s="226"/>
      <c r="O15" s="162"/>
      <c r="P15" s="227"/>
      <c r="Q15" s="227"/>
      <c r="R15" s="227"/>
      <c r="T15" s="131"/>
    </row>
    <row r="16" spans="5:20" ht="13.8" x14ac:dyDescent="0.25">
      <c r="E16" s="283" t="s">
        <v>64</v>
      </c>
      <c r="F16" s="283"/>
      <c r="G16" s="7"/>
      <c r="H16" s="226" t="s">
        <v>63</v>
      </c>
      <c r="I16" s="226"/>
      <c r="J16" s="226"/>
      <c r="K16" s="226"/>
      <c r="L16" s="226"/>
      <c r="M16" s="226"/>
      <c r="N16" s="226"/>
      <c r="O16" s="162" t="s">
        <v>40</v>
      </c>
      <c r="P16" s="227"/>
      <c r="Q16" s="227"/>
      <c r="R16" s="227"/>
    </row>
    <row r="17" spans="5:18" ht="13.8" x14ac:dyDescent="0.25">
      <c r="E17" s="25"/>
      <c r="F17" s="25"/>
      <c r="G17" s="7"/>
      <c r="H17" s="44"/>
      <c r="I17" s="44"/>
      <c r="J17" s="30"/>
      <c r="K17" s="31"/>
      <c r="L17" s="32"/>
      <c r="M17" s="228" t="s">
        <v>22</v>
      </c>
      <c r="N17" s="228"/>
      <c r="O17" s="229"/>
      <c r="P17" s="212"/>
      <c r="Q17" s="213"/>
      <c r="R17" s="214"/>
    </row>
    <row r="18" spans="5:18" ht="15" customHeight="1" x14ac:dyDescent="0.25">
      <c r="E18" s="230" t="s">
        <v>80</v>
      </c>
      <c r="F18" s="231"/>
      <c r="G18" s="231"/>
      <c r="H18" s="231"/>
      <c r="I18" s="231"/>
      <c r="J18" s="232"/>
      <c r="K18" s="231"/>
      <c r="L18" s="231"/>
      <c r="M18" s="162"/>
      <c r="N18" s="124" t="s">
        <v>31</v>
      </c>
      <c r="O18" s="33" t="s">
        <v>103</v>
      </c>
      <c r="P18" s="233" t="s">
        <v>14</v>
      </c>
      <c r="Q18" s="234"/>
      <c r="R18" s="235"/>
    </row>
    <row r="19" spans="5:18" ht="13.8" x14ac:dyDescent="0.25">
      <c r="E19" s="236" t="s">
        <v>76</v>
      </c>
      <c r="F19" s="231"/>
      <c r="G19" s="231"/>
      <c r="H19" s="231"/>
      <c r="I19" s="231"/>
      <c r="J19" s="232"/>
      <c r="K19" s="231"/>
      <c r="L19" s="231"/>
      <c r="M19" s="228"/>
      <c r="N19" s="229"/>
      <c r="O19" s="34" t="s">
        <v>101</v>
      </c>
      <c r="P19" s="237" t="s">
        <v>10</v>
      </c>
      <c r="Q19" s="238"/>
      <c r="R19" s="239"/>
    </row>
    <row r="20" spans="5:18" ht="13.8" x14ac:dyDescent="0.25">
      <c r="E20" s="37" t="s">
        <v>82</v>
      </c>
      <c r="F20" s="37"/>
      <c r="G20" s="37"/>
      <c r="H20" s="37"/>
      <c r="I20" s="163"/>
      <c r="J20" s="164" t="s">
        <v>0</v>
      </c>
      <c r="K20" s="37"/>
      <c r="L20" s="37"/>
      <c r="M20" s="162"/>
      <c r="N20" s="116" t="s">
        <v>32</v>
      </c>
      <c r="O20" s="33" t="s">
        <v>103</v>
      </c>
      <c r="P20" s="207"/>
      <c r="Q20" s="208"/>
      <c r="R20" s="209"/>
    </row>
    <row r="21" spans="5:18" ht="13.8" x14ac:dyDescent="0.25">
      <c r="E21" s="37" t="s">
        <v>87</v>
      </c>
      <c r="F21" s="37"/>
      <c r="G21" s="37"/>
      <c r="H21" s="37"/>
      <c r="I21" s="163"/>
      <c r="J21" s="164" t="s">
        <v>129</v>
      </c>
      <c r="K21" s="37"/>
      <c r="L21" s="37"/>
      <c r="M21" s="35"/>
      <c r="N21" s="28"/>
      <c r="O21" s="34" t="s">
        <v>101</v>
      </c>
      <c r="P21" s="240"/>
      <c r="Q21" s="241"/>
      <c r="R21" s="242"/>
    </row>
    <row r="22" spans="5:18" ht="13.8" x14ac:dyDescent="0.25">
      <c r="E22" s="37"/>
      <c r="F22" s="37"/>
      <c r="G22" s="37"/>
      <c r="H22" s="37"/>
      <c r="I22" s="37"/>
      <c r="J22" s="39"/>
      <c r="K22" s="37"/>
      <c r="L22" s="37"/>
      <c r="M22" s="35"/>
      <c r="N22" s="28"/>
      <c r="O22" s="36" t="s">
        <v>23</v>
      </c>
      <c r="P22" s="207" t="s">
        <v>77</v>
      </c>
      <c r="Q22" s="208"/>
      <c r="R22" s="209"/>
    </row>
    <row r="23" spans="5:18" ht="13.8" x14ac:dyDescent="0.25">
      <c r="E23" s="37"/>
      <c r="F23" s="37"/>
      <c r="G23" s="37"/>
      <c r="H23" s="37"/>
      <c r="I23" s="37"/>
      <c r="J23" s="39"/>
      <c r="K23" s="37"/>
      <c r="L23" s="37"/>
      <c r="M23" s="35"/>
      <c r="N23" s="28"/>
      <c r="O23" s="31"/>
      <c r="P23" s="37"/>
      <c r="Q23" s="38"/>
      <c r="R23" s="39"/>
    </row>
    <row r="24" spans="5:18" ht="13.8" hidden="1" x14ac:dyDescent="0.25">
      <c r="E24" s="37"/>
      <c r="F24" s="37"/>
      <c r="G24" s="37"/>
      <c r="H24" s="37"/>
      <c r="I24" s="37"/>
      <c r="J24" s="39"/>
      <c r="K24" s="37"/>
      <c r="L24" s="37"/>
      <c r="M24" s="35"/>
      <c r="N24" s="28"/>
      <c r="O24" s="162"/>
      <c r="P24" s="37"/>
      <c r="Q24" s="38"/>
      <c r="R24" s="39"/>
    </row>
    <row r="25" spans="5:18" ht="13.8" hidden="1" x14ac:dyDescent="0.25">
      <c r="E25" s="37"/>
      <c r="F25" s="37"/>
      <c r="G25" s="37"/>
      <c r="H25" s="37"/>
      <c r="I25" s="37"/>
      <c r="J25" s="39"/>
      <c r="K25" s="37"/>
      <c r="L25" s="37"/>
      <c r="M25" s="35"/>
      <c r="N25" s="28"/>
      <c r="O25" s="162"/>
      <c r="P25" s="37"/>
      <c r="Q25" s="38"/>
      <c r="R25" s="39"/>
    </row>
    <row r="26" spans="5:18" ht="13.8" hidden="1" x14ac:dyDescent="0.25">
      <c r="E26" s="37"/>
      <c r="F26" s="37"/>
      <c r="G26" s="37"/>
      <c r="H26" s="37"/>
      <c r="I26" s="37"/>
      <c r="J26" s="39"/>
      <c r="K26" s="37"/>
      <c r="L26" s="37"/>
      <c r="M26" s="35"/>
      <c r="N26" s="28"/>
      <c r="O26" s="162"/>
      <c r="P26" s="37"/>
      <c r="Q26" s="38"/>
      <c r="R26" s="39"/>
    </row>
    <row r="27" spans="5:18" ht="13.8" hidden="1" x14ac:dyDescent="0.25">
      <c r="E27" s="37"/>
      <c r="F27" s="37"/>
      <c r="G27" s="37"/>
      <c r="H27" s="37"/>
      <c r="I27" s="37"/>
      <c r="J27" s="39"/>
      <c r="K27" s="37"/>
      <c r="L27" s="37"/>
      <c r="M27" s="35"/>
      <c r="N27" s="28"/>
      <c r="O27" s="162"/>
      <c r="P27" s="37"/>
      <c r="Q27" s="38"/>
      <c r="R27" s="39"/>
    </row>
    <row r="28" spans="5:18" ht="13.8" hidden="1" x14ac:dyDescent="0.25">
      <c r="E28" s="37"/>
      <c r="F28" s="37"/>
      <c r="G28" s="37"/>
      <c r="H28" s="37"/>
      <c r="I28" s="37"/>
      <c r="J28" s="39"/>
      <c r="K28" s="37"/>
      <c r="L28" s="37"/>
      <c r="M28" s="35"/>
      <c r="N28" s="28"/>
      <c r="O28" s="162"/>
      <c r="P28" s="37"/>
      <c r="Q28" s="38"/>
      <c r="R28" s="39"/>
    </row>
    <row r="29" spans="5:18" ht="13.8" hidden="1" x14ac:dyDescent="0.25">
      <c r="E29" s="37"/>
      <c r="F29" s="37"/>
      <c r="G29" s="37"/>
      <c r="H29" s="37"/>
      <c r="I29" s="37"/>
      <c r="J29" s="39"/>
      <c r="K29" s="37"/>
      <c r="L29" s="37"/>
      <c r="M29" s="35"/>
      <c r="N29" s="28"/>
      <c r="O29" s="162"/>
      <c r="P29" s="37"/>
      <c r="Q29" s="38"/>
      <c r="R29" s="39"/>
    </row>
    <row r="30" spans="5:18" ht="13.8" hidden="1" x14ac:dyDescent="0.25">
      <c r="E30" s="37"/>
      <c r="F30" s="37"/>
      <c r="G30" s="37"/>
      <c r="H30" s="37"/>
      <c r="I30" s="37"/>
      <c r="J30" s="39"/>
      <c r="K30" s="37"/>
      <c r="L30" s="37"/>
      <c r="M30" s="35"/>
      <c r="N30" s="28"/>
      <c r="O30" s="162"/>
      <c r="P30" s="37"/>
      <c r="Q30" s="38"/>
      <c r="R30" s="39"/>
    </row>
    <row r="31" spans="5:18" ht="13.8" hidden="1" x14ac:dyDescent="0.25">
      <c r="E31" s="37"/>
      <c r="F31" s="37"/>
      <c r="G31" s="37"/>
      <c r="H31" s="37"/>
      <c r="I31" s="37"/>
      <c r="J31" s="39"/>
      <c r="K31" s="37"/>
      <c r="L31" s="37"/>
      <c r="M31" s="35"/>
      <c r="N31" s="28"/>
      <c r="O31" s="162"/>
      <c r="P31" s="37"/>
      <c r="Q31" s="38"/>
      <c r="R31" s="39"/>
    </row>
    <row r="32" spans="5:18" ht="13.8" hidden="1" x14ac:dyDescent="0.25">
      <c r="E32" s="37"/>
      <c r="F32" s="37"/>
      <c r="G32" s="37"/>
      <c r="H32" s="37"/>
      <c r="I32" s="37"/>
      <c r="J32" s="39"/>
      <c r="K32" s="37"/>
      <c r="L32" s="37"/>
      <c r="M32" s="35"/>
      <c r="N32" s="28"/>
      <c r="O32" s="162"/>
      <c r="P32" s="37"/>
      <c r="Q32" s="38"/>
      <c r="R32" s="39"/>
    </row>
    <row r="33" spans="5:18" ht="13.8" hidden="1" x14ac:dyDescent="0.25">
      <c r="E33" s="37"/>
      <c r="F33" s="37"/>
      <c r="G33" s="37"/>
      <c r="H33" s="37"/>
      <c r="I33" s="37"/>
      <c r="J33" s="39"/>
      <c r="K33" s="37"/>
      <c r="L33" s="37"/>
      <c r="M33" s="35"/>
      <c r="N33" s="28"/>
      <c r="O33" s="162"/>
      <c r="P33" s="37"/>
      <c r="Q33" s="38"/>
      <c r="R33" s="39"/>
    </row>
    <row r="34" spans="5:18" ht="13.8" hidden="1" x14ac:dyDescent="0.25">
      <c r="E34" s="37"/>
      <c r="F34" s="37"/>
      <c r="G34" s="37"/>
      <c r="H34" s="37"/>
      <c r="I34" s="37"/>
      <c r="J34" s="39"/>
      <c r="K34" s="37"/>
      <c r="L34" s="37"/>
      <c r="M34" s="35"/>
      <c r="N34" s="28"/>
      <c r="O34" s="162"/>
      <c r="P34" s="37"/>
      <c r="Q34" s="38"/>
      <c r="R34" s="39"/>
    </row>
    <row r="35" spans="5:18" ht="13.8" hidden="1" x14ac:dyDescent="0.25">
      <c r="E35" s="37"/>
      <c r="F35" s="37"/>
      <c r="G35" s="37"/>
      <c r="H35" s="37"/>
      <c r="I35" s="37"/>
      <c r="J35" s="39"/>
      <c r="K35" s="37"/>
      <c r="L35" s="37"/>
      <c r="M35" s="35"/>
      <c r="N35" s="28"/>
      <c r="O35" s="162"/>
      <c r="P35" s="37"/>
      <c r="Q35" s="38"/>
      <c r="R35" s="39"/>
    </row>
    <row r="36" spans="5:18" ht="13.8" hidden="1" x14ac:dyDescent="0.25">
      <c r="E36" s="37"/>
      <c r="F36" s="37"/>
      <c r="G36" s="37"/>
      <c r="H36" s="37"/>
      <c r="I36" s="37"/>
      <c r="J36" s="39"/>
      <c r="K36" s="37"/>
      <c r="L36" s="37"/>
      <c r="M36" s="35"/>
      <c r="N36" s="28"/>
      <c r="O36" s="162"/>
      <c r="P36" s="37"/>
      <c r="Q36" s="38"/>
      <c r="R36" s="39"/>
    </row>
    <row r="37" spans="5:18" ht="13.8" hidden="1" x14ac:dyDescent="0.25">
      <c r="E37" s="37"/>
      <c r="F37" s="37"/>
      <c r="G37" s="37"/>
      <c r="H37" s="37"/>
      <c r="I37" s="37"/>
      <c r="J37" s="39"/>
      <c r="K37" s="37"/>
      <c r="L37" s="37"/>
      <c r="M37" s="35"/>
      <c r="N37" s="28"/>
      <c r="O37" s="162"/>
      <c r="P37" s="37"/>
      <c r="Q37" s="38"/>
      <c r="R37" s="39"/>
    </row>
    <row r="38" spans="5:18" ht="13.8" hidden="1" x14ac:dyDescent="0.25">
      <c r="E38" s="37"/>
      <c r="F38" s="37"/>
      <c r="G38" s="37"/>
      <c r="H38" s="37"/>
      <c r="I38" s="37"/>
      <c r="J38" s="39"/>
      <c r="K38" s="37"/>
      <c r="L38" s="37"/>
      <c r="M38" s="35"/>
      <c r="N38" s="28"/>
      <c r="O38" s="162"/>
      <c r="P38" s="37"/>
      <c r="Q38" s="38"/>
      <c r="R38" s="39"/>
    </row>
    <row r="39" spans="5:18" ht="13.8" hidden="1" x14ac:dyDescent="0.25">
      <c r="E39" s="37"/>
      <c r="F39" s="37"/>
      <c r="G39" s="37"/>
      <c r="H39" s="37"/>
      <c r="I39" s="37"/>
      <c r="J39" s="39"/>
      <c r="K39" s="37"/>
      <c r="L39" s="37"/>
      <c r="M39" s="35"/>
      <c r="N39" s="28"/>
      <c r="O39" s="162"/>
      <c r="P39" s="37"/>
      <c r="Q39" s="38"/>
      <c r="R39" s="39"/>
    </row>
    <row r="40" spans="5:18" ht="13.8" hidden="1" x14ac:dyDescent="0.25">
      <c r="E40" s="37"/>
      <c r="F40" s="37"/>
      <c r="G40" s="37"/>
      <c r="H40" s="37"/>
      <c r="I40" s="37"/>
      <c r="J40" s="39"/>
      <c r="K40" s="37"/>
      <c r="L40" s="37"/>
      <c r="M40" s="35"/>
      <c r="N40" s="28"/>
      <c r="O40" s="162"/>
      <c r="P40" s="37"/>
      <c r="Q40" s="38"/>
      <c r="R40" s="39"/>
    </row>
    <row r="41" spans="5:18" ht="13.8" hidden="1" x14ac:dyDescent="0.25">
      <c r="E41" s="37"/>
      <c r="F41" s="37"/>
      <c r="G41" s="37"/>
      <c r="H41" s="37"/>
      <c r="I41" s="37"/>
      <c r="J41" s="39"/>
      <c r="K41" s="37"/>
      <c r="L41" s="37"/>
      <c r="M41" s="35"/>
      <c r="N41" s="28"/>
      <c r="O41" s="162"/>
      <c r="P41" s="37"/>
      <c r="Q41" s="38"/>
      <c r="R41" s="39"/>
    </row>
    <row r="42" spans="5:18" ht="13.8" hidden="1" x14ac:dyDescent="0.25">
      <c r="E42" s="37"/>
      <c r="F42" s="37"/>
      <c r="G42" s="37"/>
      <c r="H42" s="37"/>
      <c r="I42" s="37"/>
      <c r="J42" s="39"/>
      <c r="K42" s="37"/>
      <c r="L42" s="37"/>
      <c r="M42" s="35"/>
      <c r="N42" s="28"/>
      <c r="O42" s="162"/>
      <c r="P42" s="37"/>
      <c r="Q42" s="38"/>
      <c r="R42" s="39"/>
    </row>
    <row r="43" spans="5:18" ht="13.8" hidden="1" x14ac:dyDescent="0.25">
      <c r="E43" s="37"/>
      <c r="F43" s="37"/>
      <c r="G43" s="37"/>
      <c r="H43" s="37"/>
      <c r="I43" s="37"/>
      <c r="J43" s="39"/>
      <c r="K43" s="37"/>
      <c r="L43" s="37"/>
      <c r="M43" s="35"/>
      <c r="N43" s="28"/>
      <c r="O43" s="162"/>
      <c r="P43" s="37"/>
      <c r="Q43" s="38"/>
      <c r="R43" s="39"/>
    </row>
    <row r="44" spans="5:18" ht="13.8" hidden="1" x14ac:dyDescent="0.25">
      <c r="E44" s="37"/>
      <c r="F44" s="37"/>
      <c r="G44" s="37"/>
      <c r="H44" s="37"/>
      <c r="I44" s="37"/>
      <c r="J44" s="39"/>
      <c r="K44" s="37"/>
      <c r="L44" s="37"/>
      <c r="M44" s="35"/>
      <c r="N44" s="28"/>
      <c r="O44" s="162"/>
      <c r="P44" s="37"/>
      <c r="Q44" s="38"/>
      <c r="R44" s="39"/>
    </row>
    <row r="45" spans="5:18" ht="13.8" hidden="1" x14ac:dyDescent="0.25">
      <c r="E45" s="37"/>
      <c r="F45" s="37"/>
      <c r="G45" s="37"/>
      <c r="H45" s="37"/>
      <c r="I45" s="37"/>
      <c r="J45" s="39"/>
      <c r="K45" s="37"/>
      <c r="L45" s="37"/>
      <c r="M45" s="35"/>
      <c r="N45" s="28"/>
      <c r="O45" s="162"/>
      <c r="P45" s="37"/>
      <c r="Q45" s="38"/>
      <c r="R45" s="39"/>
    </row>
    <row r="46" spans="5:18" ht="13.8" x14ac:dyDescent="0.25">
      <c r="E46" s="49"/>
      <c r="F46" s="37"/>
      <c r="G46" s="37"/>
      <c r="H46" s="37"/>
      <c r="I46" s="37"/>
      <c r="J46" s="37"/>
      <c r="K46" s="45"/>
      <c r="L46" s="45"/>
      <c r="M46" s="35"/>
      <c r="N46" s="28"/>
      <c r="O46" s="162"/>
      <c r="P46" s="37"/>
      <c r="Q46" s="38"/>
      <c r="R46" s="39"/>
    </row>
    <row r="47" spans="5:18" ht="15" customHeight="1" x14ac:dyDescent="0.25">
      <c r="E47" s="25"/>
      <c r="F47" s="40"/>
      <c r="G47" s="7"/>
      <c r="H47" s="43"/>
      <c r="I47" s="43"/>
      <c r="J47" s="284" t="s">
        <v>60</v>
      </c>
      <c r="K47" s="285"/>
      <c r="L47" s="285"/>
      <c r="M47" s="286"/>
      <c r="N47" s="251" t="s">
        <v>30</v>
      </c>
      <c r="O47" s="243" t="s">
        <v>67</v>
      </c>
      <c r="P47" s="244"/>
      <c r="Q47" s="38"/>
      <c r="R47" s="39"/>
    </row>
    <row r="48" spans="5:18" ht="13.8" x14ac:dyDescent="0.25">
      <c r="E48" s="25"/>
      <c r="F48" s="25"/>
      <c r="G48" s="7"/>
      <c r="H48" s="43"/>
      <c r="I48" s="43"/>
      <c r="J48" s="287"/>
      <c r="K48" s="288"/>
      <c r="L48" s="288"/>
      <c r="M48" s="289"/>
      <c r="N48" s="252"/>
      <c r="O48" s="24" t="s">
        <v>108</v>
      </c>
      <c r="P48" s="47" t="s">
        <v>105</v>
      </c>
      <c r="Q48" s="38"/>
      <c r="R48" s="39"/>
    </row>
    <row r="49" spans="5:22" ht="15" customHeight="1" x14ac:dyDescent="0.25">
      <c r="E49" s="25"/>
      <c r="F49" s="25"/>
      <c r="G49" s="7"/>
      <c r="H49" s="43"/>
      <c r="I49" s="43"/>
      <c r="J49" s="253" t="s">
        <v>3</v>
      </c>
      <c r="K49" s="254"/>
      <c r="L49" s="254"/>
      <c r="M49" s="255"/>
      <c r="N49" s="113">
        <v>44408</v>
      </c>
      <c r="O49" s="114" t="s">
        <v>2</v>
      </c>
      <c r="P49" s="113" t="s">
        <v>13</v>
      </c>
      <c r="Q49" s="38"/>
      <c r="R49" s="41"/>
      <c r="T49" s="129"/>
    </row>
    <row r="50" spans="5:22" ht="13.8" x14ac:dyDescent="0.25">
      <c r="E50" s="6"/>
      <c r="F50" s="6"/>
      <c r="G50" s="7"/>
      <c r="H50" s="43"/>
      <c r="I50" s="43"/>
      <c r="J50" s="17"/>
      <c r="K50" s="18"/>
      <c r="L50" s="19"/>
      <c r="M50" s="21"/>
      <c r="N50" s="20"/>
      <c r="O50" s="21"/>
      <c r="P50" s="7"/>
      <c r="Q50" s="9"/>
      <c r="R50" s="8"/>
      <c r="T50" s="113" t="s">
        <v>13</v>
      </c>
      <c r="U50" s="114" t="s">
        <v>2</v>
      </c>
      <c r="V50" s="113" t="s">
        <v>13</v>
      </c>
    </row>
    <row r="51" spans="5:22" ht="14.25" customHeight="1" x14ac:dyDescent="0.25">
      <c r="E51" s="256" t="s">
        <v>19</v>
      </c>
      <c r="F51" s="256"/>
      <c r="G51" s="256"/>
      <c r="H51" s="256"/>
      <c r="I51" s="256"/>
      <c r="J51" s="256"/>
      <c r="K51" s="256"/>
      <c r="L51" s="256"/>
      <c r="M51" s="256"/>
      <c r="N51" s="256"/>
      <c r="O51" s="256"/>
      <c r="P51" s="256"/>
      <c r="Q51" s="256"/>
      <c r="R51" s="256"/>
    </row>
    <row r="52" spans="5:22" ht="14.25" customHeight="1" x14ac:dyDescent="0.25">
      <c r="E52" s="256" t="s">
        <v>61</v>
      </c>
      <c r="F52" s="256"/>
      <c r="G52" s="256"/>
      <c r="H52" s="256"/>
      <c r="I52" s="256"/>
      <c r="J52" s="256"/>
      <c r="K52" s="256"/>
      <c r="L52" s="256"/>
      <c r="M52" s="256"/>
      <c r="N52" s="256"/>
      <c r="O52" s="256"/>
      <c r="P52" s="256"/>
      <c r="Q52" s="256"/>
      <c r="R52" s="256"/>
    </row>
    <row r="53" spans="5:22" ht="13.5" customHeight="1" x14ac:dyDescent="0.25"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</row>
    <row r="54" spans="5:22" x14ac:dyDescent="0.25">
      <c r="E54" s="115" t="s">
        <v>1</v>
      </c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</row>
    <row r="55" spans="5:22" ht="13.8" x14ac:dyDescent="0.25">
      <c r="E55" s="258" t="s">
        <v>59</v>
      </c>
      <c r="F55" s="258"/>
      <c r="G55" s="259" t="s">
        <v>98</v>
      </c>
      <c r="H55" s="290" t="s">
        <v>56</v>
      </c>
      <c r="I55" s="261" t="s">
        <v>68</v>
      </c>
      <c r="J55" s="259" t="s">
        <v>33</v>
      </c>
      <c r="K55" s="259" t="s">
        <v>47</v>
      </c>
      <c r="L55" s="263" t="s">
        <v>97</v>
      </c>
      <c r="M55" s="259" t="s">
        <v>69</v>
      </c>
      <c r="N55" s="264" t="s">
        <v>84</v>
      </c>
      <c r="O55" s="259" t="s">
        <v>73</v>
      </c>
      <c r="P55" s="265" t="s">
        <v>48</v>
      </c>
      <c r="Q55" s="264" t="s">
        <v>83</v>
      </c>
      <c r="R55" s="263" t="s">
        <v>35</v>
      </c>
    </row>
    <row r="56" spans="5:22" ht="41.4" x14ac:dyDescent="0.25">
      <c r="E56" s="161" t="s">
        <v>109</v>
      </c>
      <c r="F56" s="10" t="s">
        <v>107</v>
      </c>
      <c r="G56" s="259"/>
      <c r="H56" s="290"/>
      <c r="I56" s="262"/>
      <c r="J56" s="259"/>
      <c r="K56" s="259"/>
      <c r="L56" s="263"/>
      <c r="M56" s="259"/>
      <c r="N56" s="264"/>
      <c r="O56" s="259"/>
      <c r="P56" s="266"/>
      <c r="Q56" s="264"/>
      <c r="R56" s="263"/>
    </row>
    <row r="57" spans="5:22" ht="13.8" x14ac:dyDescent="0.25">
      <c r="E57" s="165">
        <v>1</v>
      </c>
      <c r="F57" s="165">
        <v>2</v>
      </c>
      <c r="G57" s="161">
        <v>3</v>
      </c>
      <c r="H57" s="161">
        <v>4</v>
      </c>
      <c r="I57" s="161" t="s">
        <v>16</v>
      </c>
      <c r="J57" s="10">
        <v>5</v>
      </c>
      <c r="K57" s="22">
        <v>6</v>
      </c>
      <c r="L57" s="22">
        <v>7</v>
      </c>
      <c r="M57" s="22">
        <v>8</v>
      </c>
      <c r="N57" s="23">
        <v>9</v>
      </c>
      <c r="O57" s="22">
        <v>10</v>
      </c>
      <c r="P57" s="22">
        <v>11</v>
      </c>
      <c r="Q57" s="12">
        <v>12</v>
      </c>
      <c r="R57" s="165">
        <v>13</v>
      </c>
    </row>
    <row r="58" spans="5:22" x14ac:dyDescent="0.25">
      <c r="I58" s="50"/>
      <c r="K58" s="155"/>
      <c r="M58" s="155"/>
      <c r="O58" s="155"/>
      <c r="P58" s="155"/>
      <c r="Q58" s="158"/>
      <c r="R58" s="157"/>
    </row>
    <row r="59" spans="5:22" ht="13.8" x14ac:dyDescent="0.25">
      <c r="E59" s="267" t="s">
        <v>75</v>
      </c>
      <c r="F59" s="268"/>
      <c r="G59" s="269"/>
      <c r="H59" s="270"/>
      <c r="I59" s="270"/>
      <c r="J59" s="271"/>
      <c r="K59" s="272"/>
      <c r="L59" s="273"/>
      <c r="M59" s="272"/>
      <c r="N59" s="274"/>
      <c r="O59" s="272"/>
      <c r="P59" s="272"/>
      <c r="Q59" s="275"/>
      <c r="R59" s="276"/>
    </row>
    <row r="62" spans="5:22" ht="13.8" x14ac:dyDescent="0.25">
      <c r="E62" s="267" t="s">
        <v>74</v>
      </c>
      <c r="F62" s="268"/>
      <c r="G62" s="269"/>
      <c r="H62" s="270"/>
      <c r="I62" s="270"/>
      <c r="J62" s="271"/>
      <c r="K62" s="272"/>
      <c r="L62" s="273"/>
      <c r="M62" s="272"/>
      <c r="N62" s="274"/>
      <c r="O62" s="272"/>
      <c r="P62" s="272"/>
      <c r="Q62" s="275"/>
      <c r="R62" s="276"/>
    </row>
    <row r="64" spans="5:22" ht="52.8" x14ac:dyDescent="0.25">
      <c r="E64" s="152">
        <v>1</v>
      </c>
      <c r="F64" s="152" t="s">
        <v>7</v>
      </c>
      <c r="G64" s="153" t="s">
        <v>93</v>
      </c>
      <c r="H64" s="153" t="s">
        <v>54</v>
      </c>
      <c r="J64" s="53" t="s">
        <v>8</v>
      </c>
      <c r="K64" s="155">
        <v>16.670000000000002</v>
      </c>
      <c r="L64" s="55">
        <v>251422.63</v>
      </c>
      <c r="O64" s="54" t="s">
        <v>5</v>
      </c>
    </row>
    <row r="65" spans="5:18" x14ac:dyDescent="0.25">
      <c r="H65" s="56" t="s">
        <v>38</v>
      </c>
      <c r="L65" s="55">
        <v>20260.88</v>
      </c>
      <c r="M65" s="54"/>
      <c r="N65" s="54">
        <v>337749</v>
      </c>
      <c r="P65" s="155">
        <v>35.26</v>
      </c>
      <c r="Q65" s="54">
        <v>11909025</v>
      </c>
    </row>
    <row r="66" spans="5:18" x14ac:dyDescent="0.25">
      <c r="H66" s="56" t="s">
        <v>99</v>
      </c>
      <c r="L66" s="55">
        <v>193250.27</v>
      </c>
      <c r="M66" s="54"/>
      <c r="N66" s="54">
        <v>3221482</v>
      </c>
      <c r="P66" s="155">
        <v>2.71</v>
      </c>
      <c r="Q66" s="54">
        <v>8730216</v>
      </c>
    </row>
    <row r="67" spans="5:18" x14ac:dyDescent="0.25">
      <c r="H67" s="56" t="s">
        <v>100</v>
      </c>
      <c r="L67" s="55">
        <v>3408.89</v>
      </c>
      <c r="M67" s="54"/>
      <c r="N67" s="53">
        <v>56826</v>
      </c>
      <c r="P67" s="155">
        <v>35.26</v>
      </c>
      <c r="Q67" s="53">
        <v>2003692</v>
      </c>
    </row>
    <row r="68" spans="5:18" x14ac:dyDescent="0.25">
      <c r="H68" s="56" t="s">
        <v>53</v>
      </c>
      <c r="L68" s="55">
        <v>37911.480000000003</v>
      </c>
      <c r="M68" s="54"/>
      <c r="N68" s="54">
        <v>631984</v>
      </c>
      <c r="P68" s="155">
        <v>7.39</v>
      </c>
      <c r="Q68" s="54">
        <v>4670365</v>
      </c>
    </row>
    <row r="69" spans="5:18" x14ac:dyDescent="0.25">
      <c r="H69" s="56" t="s">
        <v>55</v>
      </c>
      <c r="K69" s="155">
        <v>105</v>
      </c>
      <c r="N69" s="54">
        <v>414304</v>
      </c>
      <c r="O69" s="54">
        <v>105</v>
      </c>
      <c r="Q69" s="54">
        <v>14608353</v>
      </c>
    </row>
    <row r="70" spans="5:18" x14ac:dyDescent="0.25">
      <c r="H70" s="56" t="s">
        <v>78</v>
      </c>
      <c r="K70" s="155">
        <v>65</v>
      </c>
      <c r="N70" s="54">
        <v>256474</v>
      </c>
      <c r="O70" s="54">
        <v>65</v>
      </c>
      <c r="Q70" s="54">
        <v>6463140</v>
      </c>
    </row>
    <row r="71" spans="5:18" x14ac:dyDescent="0.25">
      <c r="E71" s="61"/>
      <c r="F71" s="61"/>
      <c r="G71" s="61"/>
      <c r="H71" s="62" t="s">
        <v>39</v>
      </c>
      <c r="I71" s="61"/>
      <c r="J71" s="61"/>
      <c r="K71" s="63">
        <v>1852</v>
      </c>
      <c r="L71" s="61"/>
      <c r="M71" s="64"/>
      <c r="N71" s="61"/>
      <c r="O71" s="61"/>
      <c r="P71" s="61"/>
      <c r="Q71" s="61"/>
      <c r="R71" s="65">
        <v>30872.84</v>
      </c>
    </row>
    <row r="72" spans="5:18" x14ac:dyDescent="0.25">
      <c r="N72" s="51">
        <v>4861993</v>
      </c>
      <c r="Q72" s="51">
        <v>46381099</v>
      </c>
      <c r="R72" s="52">
        <v>30872.84</v>
      </c>
    </row>
    <row r="73" spans="5:18" ht="52.8" x14ac:dyDescent="0.25">
      <c r="E73" s="152">
        <v>2</v>
      </c>
      <c r="F73" s="152" t="s">
        <v>9</v>
      </c>
      <c r="G73" s="153" t="s">
        <v>94</v>
      </c>
      <c r="H73" s="153" t="s">
        <v>90</v>
      </c>
      <c r="J73" s="53" t="s">
        <v>102</v>
      </c>
      <c r="K73" s="155">
        <v>-1667</v>
      </c>
      <c r="L73" s="55">
        <v>152.13</v>
      </c>
      <c r="O73" s="54" t="s">
        <v>11</v>
      </c>
    </row>
    <row r="74" spans="5:18" x14ac:dyDescent="0.25">
      <c r="E74" s="61"/>
      <c r="F74" s="61"/>
      <c r="G74" s="61"/>
      <c r="H74" s="62" t="s">
        <v>53</v>
      </c>
      <c r="I74" s="61"/>
      <c r="J74" s="61"/>
      <c r="K74" s="61"/>
      <c r="L74" s="65">
        <v>152.13</v>
      </c>
      <c r="M74" s="64"/>
      <c r="N74" s="64">
        <v>-253601</v>
      </c>
      <c r="O74" s="61"/>
      <c r="P74" s="63">
        <v>9.3800000000000008</v>
      </c>
      <c r="Q74" s="64">
        <v>-2378775</v>
      </c>
      <c r="R74" s="61"/>
    </row>
    <row r="75" spans="5:18" x14ac:dyDescent="0.25">
      <c r="N75" s="51">
        <v>-253601</v>
      </c>
      <c r="Q75" s="51">
        <v>-2378775</v>
      </c>
      <c r="R75" s="52">
        <v>0</v>
      </c>
    </row>
    <row r="76" spans="5:18" ht="145.19999999999999" x14ac:dyDescent="0.25">
      <c r="E76" s="152">
        <v>3</v>
      </c>
      <c r="F76" s="152" t="s">
        <v>12</v>
      </c>
      <c r="G76" s="153" t="s">
        <v>51</v>
      </c>
      <c r="H76" s="153" t="s">
        <v>45</v>
      </c>
      <c r="J76" s="53" t="s">
        <v>104</v>
      </c>
      <c r="K76" s="155">
        <v>1667</v>
      </c>
      <c r="L76" s="55">
        <v>358.02</v>
      </c>
      <c r="O76" s="54" t="s">
        <v>50</v>
      </c>
    </row>
    <row r="77" spans="5:18" x14ac:dyDescent="0.25">
      <c r="E77" s="61"/>
      <c r="F77" s="61"/>
      <c r="G77" s="61"/>
      <c r="H77" s="62" t="s">
        <v>53</v>
      </c>
      <c r="I77" s="61"/>
      <c r="J77" s="61"/>
      <c r="K77" s="61"/>
      <c r="L77" s="65">
        <v>358.02</v>
      </c>
      <c r="M77" s="64"/>
      <c r="N77" s="64">
        <v>596819</v>
      </c>
      <c r="O77" s="61"/>
      <c r="P77" s="63">
        <v>6.48</v>
      </c>
      <c r="Q77" s="64">
        <v>3867389</v>
      </c>
      <c r="R77" s="61"/>
    </row>
    <row r="78" spans="5:18" x14ac:dyDescent="0.25">
      <c r="N78" s="51">
        <v>596819</v>
      </c>
      <c r="Q78" s="51">
        <v>3867389</v>
      </c>
      <c r="R78" s="52">
        <v>0</v>
      </c>
    </row>
    <row r="80" spans="5:18" x14ac:dyDescent="0.25">
      <c r="E80" s="57" t="s">
        <v>42</v>
      </c>
      <c r="N80" s="57">
        <v>5205211</v>
      </c>
      <c r="Q80" s="57">
        <v>47869713</v>
      </c>
      <c r="R80" s="58">
        <v>30872.84</v>
      </c>
    </row>
    <row r="81" spans="8:17" x14ac:dyDescent="0.25">
      <c r="H81" s="123" t="s">
        <v>72</v>
      </c>
      <c r="N81" s="54">
        <v>4534433</v>
      </c>
      <c r="Q81" s="54">
        <v>26798220</v>
      </c>
    </row>
    <row r="82" spans="8:17" x14ac:dyDescent="0.25">
      <c r="H82" s="125" t="s">
        <v>86</v>
      </c>
      <c r="N82" s="54">
        <v>975202</v>
      </c>
      <c r="Q82" s="54">
        <v>6158979</v>
      </c>
    </row>
    <row r="83" spans="8:17" x14ac:dyDescent="0.25">
      <c r="H83" s="56" t="s">
        <v>99</v>
      </c>
      <c r="N83" s="54">
        <v>3221482</v>
      </c>
      <c r="Q83" s="54">
        <v>8730216</v>
      </c>
    </row>
    <row r="84" spans="8:17" x14ac:dyDescent="0.25">
      <c r="H84" s="56" t="s">
        <v>34</v>
      </c>
      <c r="N84" s="54">
        <v>56826</v>
      </c>
      <c r="Q84" s="54">
        <v>2003692</v>
      </c>
    </row>
    <row r="85" spans="8:17" x14ac:dyDescent="0.25">
      <c r="H85" s="56" t="s">
        <v>65</v>
      </c>
      <c r="N85" s="54">
        <v>337749</v>
      </c>
      <c r="Q85" s="54">
        <v>11909025</v>
      </c>
    </row>
    <row r="86" spans="8:17" ht="13.8" x14ac:dyDescent="0.3">
      <c r="H86" s="60" t="s">
        <v>92</v>
      </c>
      <c r="N86" s="60">
        <v>30873</v>
      </c>
      <c r="Q86" s="120">
        <v>30873</v>
      </c>
    </row>
    <row r="87" spans="8:17" ht="13.8" x14ac:dyDescent="0.3">
      <c r="H87" s="57" t="s">
        <v>91</v>
      </c>
      <c r="N87" s="60">
        <v>4208</v>
      </c>
      <c r="Q87" s="120">
        <v>4208</v>
      </c>
    </row>
    <row r="88" spans="8:17" x14ac:dyDescent="0.25">
      <c r="H88" s="56" t="s">
        <v>57</v>
      </c>
      <c r="N88" s="54">
        <v>414304</v>
      </c>
      <c r="Q88" s="54">
        <v>14608353</v>
      </c>
    </row>
    <row r="89" spans="8:17" x14ac:dyDescent="0.25">
      <c r="H89" s="56" t="s">
        <v>81</v>
      </c>
      <c r="N89" s="54">
        <v>256474</v>
      </c>
      <c r="Q89" s="54">
        <v>6463140</v>
      </c>
    </row>
    <row r="90" spans="8:17" x14ac:dyDescent="0.25">
      <c r="H90" s="57" t="s">
        <v>25</v>
      </c>
      <c r="N90" s="57">
        <v>5205211</v>
      </c>
      <c r="Q90" s="57">
        <v>47869713</v>
      </c>
    </row>
    <row r="91" spans="8:17" x14ac:dyDescent="0.25">
      <c r="H91" s="57" t="s">
        <v>85</v>
      </c>
      <c r="N91" s="119"/>
      <c r="Q91" s="57">
        <v>3867389</v>
      </c>
    </row>
    <row r="92" spans="8:17" x14ac:dyDescent="0.25">
      <c r="H92" s="56" t="s">
        <v>41</v>
      </c>
      <c r="N92" s="57">
        <v>5205211</v>
      </c>
      <c r="Q92" s="121">
        <v>44002324</v>
      </c>
    </row>
    <row r="93" spans="8:17" x14ac:dyDescent="0.25">
      <c r="H93" s="118" t="s">
        <v>43</v>
      </c>
      <c r="Q93" s="105">
        <v>44002324</v>
      </c>
    </row>
    <row r="94" spans="8:17" x14ac:dyDescent="0.25">
      <c r="H94" s="59" t="s">
        <v>71</v>
      </c>
      <c r="N94" s="59">
        <v>208208</v>
      </c>
      <c r="Q94" s="59">
        <v>1760093</v>
      </c>
    </row>
    <row r="95" spans="8:17" x14ac:dyDescent="0.25">
      <c r="H95" s="57" t="s">
        <v>44</v>
      </c>
      <c r="N95" s="57">
        <v>5413419</v>
      </c>
      <c r="Q95" s="57">
        <v>45762417</v>
      </c>
    </row>
    <row r="96" spans="8:17" x14ac:dyDescent="0.25">
      <c r="H96" s="57" t="s">
        <v>26</v>
      </c>
      <c r="N96" s="57">
        <v>5413419</v>
      </c>
      <c r="Q96" s="122"/>
    </row>
    <row r="97" spans="5:18" x14ac:dyDescent="0.25">
      <c r="H97" s="57" t="s">
        <v>27</v>
      </c>
      <c r="N97" s="119"/>
      <c r="Q97" s="57">
        <v>45762417</v>
      </c>
    </row>
    <row r="99" spans="5:18" ht="12.75" customHeight="1" x14ac:dyDescent="0.25">
      <c r="E99" s="73" t="s">
        <v>79</v>
      </c>
      <c r="F99" s="74"/>
      <c r="G99" s="75"/>
      <c r="H99" s="76"/>
      <c r="I99" s="76"/>
      <c r="J99" s="77"/>
      <c r="K99" s="78"/>
      <c r="L99" s="73" t="s">
        <v>70</v>
      </c>
      <c r="M99" s="78"/>
      <c r="N99" s="79"/>
      <c r="O99" s="78"/>
      <c r="P99" s="78"/>
      <c r="Q99" s="80"/>
      <c r="R99" s="81"/>
    </row>
    <row r="100" spans="5:18" ht="27" customHeight="1" x14ac:dyDescent="0.25">
      <c r="E100" s="278" t="s">
        <v>110</v>
      </c>
      <c r="F100" s="278"/>
      <c r="G100" s="278"/>
      <c r="H100" s="166" t="s">
        <v>111</v>
      </c>
      <c r="I100" s="83"/>
      <c r="J100" s="83"/>
      <c r="K100" s="5"/>
      <c r="L100" s="278" t="s">
        <v>122</v>
      </c>
      <c r="M100" s="278"/>
      <c r="N100" s="278"/>
      <c r="O100" s="166"/>
      <c r="P100" s="281" t="s">
        <v>123</v>
      </c>
      <c r="Q100" s="281" t="s">
        <v>112</v>
      </c>
      <c r="R100" s="281"/>
    </row>
    <row r="101" spans="5:18" ht="12.75" customHeight="1" x14ac:dyDescent="0.25">
      <c r="E101" s="84" t="s">
        <v>52</v>
      </c>
      <c r="F101" s="84"/>
      <c r="G101" s="84" t="s">
        <v>113</v>
      </c>
      <c r="H101" s="85"/>
      <c r="I101" s="83"/>
      <c r="J101" s="83"/>
      <c r="K101" s="5"/>
      <c r="L101" s="279" t="s">
        <v>52</v>
      </c>
      <c r="M101" s="279"/>
      <c r="N101" s="279" t="s">
        <v>114</v>
      </c>
      <c r="O101" s="279"/>
      <c r="P101" s="282" t="s">
        <v>115</v>
      </c>
      <c r="Q101" s="282"/>
      <c r="R101" s="282"/>
    </row>
    <row r="102" spans="5:18" ht="19.5" customHeight="1" x14ac:dyDescent="0.25">
      <c r="E102" s="86" t="s">
        <v>116</v>
      </c>
      <c r="F102" s="85"/>
      <c r="G102" s="87"/>
      <c r="H102" s="87"/>
      <c r="I102" s="88"/>
      <c r="J102" s="89"/>
      <c r="K102" s="5"/>
      <c r="L102" s="200" t="s">
        <v>124</v>
      </c>
      <c r="M102" s="200"/>
      <c r="N102" s="200"/>
      <c r="O102" s="200"/>
      <c r="P102" s="200"/>
      <c r="Q102" s="200"/>
      <c r="R102" s="200"/>
    </row>
    <row r="103" spans="5:18" x14ac:dyDescent="0.25">
      <c r="E103" s="201"/>
      <c r="F103" s="201"/>
      <c r="G103" s="201"/>
      <c r="H103" s="83"/>
      <c r="I103" s="89"/>
      <c r="J103" s="89"/>
      <c r="K103" s="5"/>
      <c r="L103" s="280" t="s">
        <v>24</v>
      </c>
      <c r="M103" s="280"/>
      <c r="N103" s="280"/>
      <c r="O103" s="89"/>
      <c r="P103" s="89"/>
      <c r="Q103" s="89"/>
      <c r="R103" s="89"/>
    </row>
    <row r="104" spans="5:18" x14ac:dyDescent="0.25">
      <c r="E104" s="277"/>
      <c r="F104" s="277"/>
      <c r="G104" s="277"/>
      <c r="H104" s="89"/>
      <c r="I104" s="89"/>
      <c r="J104" s="89"/>
      <c r="K104" s="5"/>
      <c r="L104" s="203" t="s">
        <v>117</v>
      </c>
      <c r="M104" s="203"/>
      <c r="N104" s="91"/>
      <c r="O104" s="91"/>
      <c r="P104" s="92"/>
      <c r="Q104" s="204" t="s">
        <v>118</v>
      </c>
      <c r="R104" s="204"/>
    </row>
    <row r="105" spans="5:18" x14ac:dyDescent="0.25">
      <c r="E105" s="202"/>
      <c r="F105" s="202"/>
      <c r="G105" s="202"/>
      <c r="H105" s="90"/>
      <c r="I105" s="89"/>
      <c r="J105" s="89"/>
      <c r="K105" s="5"/>
      <c r="L105" s="205" t="s">
        <v>114</v>
      </c>
      <c r="M105" s="205"/>
      <c r="N105" s="205"/>
      <c r="O105" s="205"/>
      <c r="P105" s="85" t="s">
        <v>115</v>
      </c>
      <c r="Q105" s="85"/>
      <c r="R105" s="85"/>
    </row>
    <row r="106" spans="5:18" x14ac:dyDescent="0.25">
      <c r="E106" s="89"/>
      <c r="F106" s="89"/>
      <c r="G106" s="89"/>
      <c r="H106" s="89"/>
      <c r="I106" s="89"/>
      <c r="J106" s="89"/>
      <c r="K106" s="5"/>
      <c r="L106" s="89"/>
      <c r="M106" s="89"/>
      <c r="N106" s="89"/>
      <c r="O106" s="89"/>
      <c r="P106" s="89"/>
      <c r="Q106" s="89"/>
      <c r="R106" s="89"/>
    </row>
    <row r="107" spans="5:18" x14ac:dyDescent="0.25">
      <c r="E107" s="89"/>
      <c r="F107" s="89"/>
      <c r="G107" s="89"/>
      <c r="H107" s="89"/>
      <c r="I107" s="89"/>
      <c r="J107" s="89"/>
      <c r="K107" s="5"/>
      <c r="L107" s="93" t="s">
        <v>58</v>
      </c>
      <c r="M107" s="93"/>
      <c r="N107" s="93"/>
      <c r="O107" s="93"/>
      <c r="P107" s="94"/>
      <c r="Q107" s="206" t="s">
        <v>119</v>
      </c>
      <c r="R107" s="206"/>
    </row>
    <row r="108" spans="5:18" x14ac:dyDescent="0.25">
      <c r="E108" s="89"/>
      <c r="F108" s="89"/>
      <c r="G108" s="89"/>
      <c r="H108" s="89"/>
      <c r="I108" s="89"/>
      <c r="J108" s="89"/>
      <c r="K108" s="5"/>
      <c r="L108" s="199" t="s">
        <v>114</v>
      </c>
      <c r="M108" s="199"/>
      <c r="N108" s="199"/>
      <c r="O108" s="199"/>
      <c r="P108" s="85" t="s">
        <v>115</v>
      </c>
      <c r="Q108" s="85"/>
      <c r="R108" s="85"/>
    </row>
    <row r="109" spans="5:18" x14ac:dyDescent="0.25">
      <c r="L109" s="197" t="s">
        <v>120</v>
      </c>
      <c r="M109" s="197"/>
      <c r="N109" s="96"/>
      <c r="P109" s="97"/>
      <c r="Q109" s="98"/>
      <c r="R109" s="99"/>
    </row>
    <row r="110" spans="5:18" x14ac:dyDescent="0.25">
      <c r="L110" s="198"/>
      <c r="M110" s="198"/>
      <c r="N110" s="96"/>
      <c r="P110" s="100"/>
      <c r="Q110" s="101"/>
      <c r="R110" s="102" t="s">
        <v>121</v>
      </c>
    </row>
    <row r="111" spans="5:18" x14ac:dyDescent="0.25">
      <c r="L111" s="199" t="s">
        <v>114</v>
      </c>
      <c r="M111" s="199"/>
      <c r="N111" s="199"/>
      <c r="O111" s="199"/>
      <c r="P111" s="85" t="s">
        <v>115</v>
      </c>
    </row>
  </sheetData>
  <mergeCells count="74">
    <mergeCell ref="Q107:R107"/>
    <mergeCell ref="L108:O108"/>
    <mergeCell ref="L109:M110"/>
    <mergeCell ref="Q55:Q56"/>
    <mergeCell ref="L111:O111"/>
    <mergeCell ref="L101:O101"/>
    <mergeCell ref="P101:R101"/>
    <mergeCell ref="L102:R102"/>
    <mergeCell ref="E59:R59"/>
    <mergeCell ref="E62:R62"/>
    <mergeCell ref="E100:G100"/>
    <mergeCell ref="L100:N100"/>
    <mergeCell ref="P100:R100"/>
    <mergeCell ref="E103:G103"/>
    <mergeCell ref="L103:N103"/>
    <mergeCell ref="E104:G104"/>
    <mergeCell ref="L104:M104"/>
    <mergeCell ref="Q104:R104"/>
    <mergeCell ref="E105:G105"/>
    <mergeCell ref="L105:O105"/>
    <mergeCell ref="J49:M49"/>
    <mergeCell ref="E51:R51"/>
    <mergeCell ref="E52:R52"/>
    <mergeCell ref="E53:R53"/>
    <mergeCell ref="E55:F55"/>
    <mergeCell ref="G55:G56"/>
    <mergeCell ref="H55:H56"/>
    <mergeCell ref="I55:I56"/>
    <mergeCell ref="J55:J56"/>
    <mergeCell ref="K55:K56"/>
    <mergeCell ref="R55:R56"/>
    <mergeCell ref="L55:L56"/>
    <mergeCell ref="M55:M56"/>
    <mergeCell ref="N55:N56"/>
    <mergeCell ref="O55:O56"/>
    <mergeCell ref="P55:P56"/>
    <mergeCell ref="P20:R20"/>
    <mergeCell ref="P21:R21"/>
    <mergeCell ref="P22:R22"/>
    <mergeCell ref="J47:M48"/>
    <mergeCell ref="N47:N48"/>
    <mergeCell ref="O47:P47"/>
    <mergeCell ref="M17:O17"/>
    <mergeCell ref="P17:R17"/>
    <mergeCell ref="E18:L18"/>
    <mergeCell ref="P18:R18"/>
    <mergeCell ref="E19:L19"/>
    <mergeCell ref="M19:N19"/>
    <mergeCell ref="P19:R19"/>
    <mergeCell ref="E15:G15"/>
    <mergeCell ref="H15:N15"/>
    <mergeCell ref="P15:R15"/>
    <mergeCell ref="E16:F16"/>
    <mergeCell ref="H16:N16"/>
    <mergeCell ref="P16:R16"/>
    <mergeCell ref="E12:G12"/>
    <mergeCell ref="H12:N12"/>
    <mergeCell ref="P12:R12"/>
    <mergeCell ref="P13:R13"/>
    <mergeCell ref="E14:F14"/>
    <mergeCell ref="H14:N14"/>
    <mergeCell ref="P14:R14"/>
    <mergeCell ref="E10:G10"/>
    <mergeCell ref="H10:N10"/>
    <mergeCell ref="P10:R10"/>
    <mergeCell ref="E11:G11"/>
    <mergeCell ref="H11:N11"/>
    <mergeCell ref="P11:R11"/>
    <mergeCell ref="P6:R6"/>
    <mergeCell ref="P7:R7"/>
    <mergeCell ref="P8:R8"/>
    <mergeCell ref="E9:G9"/>
    <mergeCell ref="H9:N9"/>
    <mergeCell ref="P9:R9"/>
  </mergeCells>
  <printOptions horizontalCentered="1"/>
  <pageMargins left="0.39" right="0.2" top="0.79" bottom="0.39" header="0.2" footer="0.2"/>
  <pageSetup paperSize="9" scale="64" fitToHeight="2" orientation="landscape" r:id="rId1"/>
  <headerFooter>
    <oddFooter>&amp;L&amp;"-,Standard"&amp;R&amp;P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Лист1</vt:lpstr>
      <vt:lpstr>Лист2</vt:lpstr>
      <vt:lpstr>Виды ошибок</vt:lpstr>
      <vt:lpstr>Цели</vt:lpstr>
      <vt:lpstr>строк кода</vt:lpstr>
      <vt:lpstr>Лист1 (2)</vt:lpstr>
      <vt:lpstr>'Лист1 (2)'!END_ITOG</vt:lpstr>
      <vt:lpstr>END_ITOG</vt:lpstr>
      <vt:lpstr>'Лист1 (2)'!END_LINE</vt:lpstr>
      <vt:lpstr>END_LINE</vt:lpstr>
      <vt:lpstr>'Лист1 (2)'!NAME_34</vt:lpstr>
      <vt:lpstr>NAME_34</vt:lpstr>
      <vt:lpstr>'Лист1 (2)'!NUMBER_LINE</vt:lpstr>
      <vt:lpstr>NUMBER_LINE</vt:lpstr>
      <vt:lpstr>Лист1!Заголовки_для_печати</vt:lpstr>
      <vt:lpstr>'Лист1 (2)'!Заголовки_для_печати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MVDRAGOLYUB</dc:creator>
  <dc:description>7.0.6</dc:description>
  <cp:lastModifiedBy>User</cp:lastModifiedBy>
  <cp:lastPrinted>2021-07-29T09:22:41Z</cp:lastPrinted>
  <dcterms:created xsi:type="dcterms:W3CDTF">2021-07-27T14:56:21Z</dcterms:created>
  <dcterms:modified xsi:type="dcterms:W3CDTF">2022-06-17T23:13:05Z</dcterms:modified>
</cp:coreProperties>
</file>