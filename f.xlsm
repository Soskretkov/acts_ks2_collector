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355F2C24-1C78-4906-BF1E-6903621346FF}" xr6:coauthVersionLast="37" xr6:coauthVersionMax="3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<sst xmlns="http://schemas.openxmlformats.org/spreadsheetml/2006/main" count="355" uniqueCount="176">
  <si>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</si>
  <si>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</si>
  <si>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</si>
  <si>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</si>
  <si>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</si>
  <si>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</si>
  <si>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</si>
  <si>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</si>
  <si>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</si>
  <si>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</si>
  <si>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</si>
  <si>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</si>
  <si>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</si>
  <si>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</si>
  <si>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</si>
  <si>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</si>
  <si>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</si>
  <si>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</si>
  <si>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</si>
  <si>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</si>
  <si>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</si>
  <si>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</si>
  <si>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</si>
  <si>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</si>
  <si>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</si>
  <si>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</si>
  <si>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</si>
  <si>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</si>
  <si>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</si>
  <si>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</si>
  <si>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</si>
  <si>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</si>
  <si>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</si>
  <si>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</si>
  <si>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</si>
  <si>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</si>
  <si>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</si>
  <si>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</si>
  <si>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</si>
  <si>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</si>
  <si>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</si>
  <si>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</si>
  <si>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</si>
  <si>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</si>
  <si>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</si>
  <si>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</si>
  <si>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</si>
  <si>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</si>
  <si>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</si>
  <si>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</si>
  <si>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</si>
  <si>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</si>
  <si>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</si>
  <si>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</si>
  <si>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</si>
  <si>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</si>
  <si>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</si>
  <si>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</si>
  <si>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</si>
  <si>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</si>
  <si>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</si>
  <si>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</si>
  <si>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</si>
  <si>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</si>
  <si>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</si>
  <si>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</si>
  <si>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</si>
  <si>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</si>
  <si>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</si>
  <si>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</si>
  <si>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</si>
  <si>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</si>
  <si>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</si>
  <si>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</si>
  <si>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</si>
  <si>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</si>
  <si>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</si>
  <si>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</si>
  <si>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</si>
  <si>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</si>
  <si>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</si>
  <si>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</si>
  <si>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</si>
  <si>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</si>
  <si>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</si>
  <si>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</si>
  <si>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</si>
  <si>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</si>
  <si>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</si>
  <si>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</si>
  <si>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</si>
  <si>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</si>
  <si>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</si>
  <si>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</si>
  <si>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</si>
  <si>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</si>
  <si>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</si>
  <si>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</si>
  <si>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</si>
  <si>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</si>
  <si>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</si>
  <si>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</si>
  <si>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</si>
  <si>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</si>
  <si>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</si>
  <si>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</si>
  <si>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</si>
  <si>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</si>
  <si>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</si>
  <si>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</si>
  <si>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</si>
  <si>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</si>
  <si>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</si>
  <si>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</si>
  <si>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</si>
  <si>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</si>
  <si>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</si>
  <si>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</si>
  <si>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</si>
  <si>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</si>
  <si>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</si>
  <si>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</si>
  <si>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</si>
  <si>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</si>
  <si>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</si>
  <si>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</si>
  <si>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</si>
  <si>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</si>
  <si>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</si>
  <si>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</si>
  <si>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</si>
  <si>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</si>
  <si>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</si>
  <si>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</si>
  <si>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</si>
  <si>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</si>
  <si>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</si>
  <si>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</si>
  <si>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</si>
  <si>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</si>
  <si>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</si>
  <si>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</si>
  <si>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</si>
  <si>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</si>
  <si>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</si>
  <si>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</si>
  <si>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</si>
  <si>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</si>
  <si>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</si>
  <si>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</si>
  <si>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</si>
  <si>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</si>
  <si>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</si>
  <si>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</si>
  <si>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</si>
  <si>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</si>
  <si>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</si>
  <si>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</si>
  <si>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</si>
  <si>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</si>
  <si>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</si>
  <si>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</si>
  <si>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</si>
  <si>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</si>
  <si>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</si>
  <si>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</si>
  <si>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</si>
  <si>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</si>
  <si>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</si>
  <si>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</si>
  <si>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</si>
  <si>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</si>
  <si>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</si>
  <si>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15-17 июля</t>
  </si>
  <si>
    <t>в part_1
remain</t>
  </si>
  <si>
    <t>в part_1
delete или 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</si>
</sst>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5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0" fontId="0" fillId="7" borderId="1" xfId="0" applyFill="1" applyBorder="1" applyAlignment="1">
      <alignment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7" borderId="1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abSelected="1" topLeftCell="A76" zoomScale="70" zoomScaleNormal="70" zoomScaleSheetLayoutView="100" workbookViewId="0">
      <selection activeCell="H97" sqref="H97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31" t="s">
        <v>46</v>
      </c>
      <c r="Q6" s="232"/>
      <c r="R6" s="233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31" t="s">
        <v>4</v>
      </c>
      <c r="Q7" s="232"/>
      <c r="R7" s="233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31"/>
      <c r="Q8" s="232"/>
      <c r="R8" s="233"/>
    </row>
    <row r="9" spans="5:20" ht="15" customHeight="1" x14ac:dyDescent="0.25">
      <c r="E9" s="262" t="s">
        <v>36</v>
      </c>
      <c r="F9" s="262"/>
      <c r="G9" s="262"/>
      <c r="H9" s="276" t="s">
        <v>20</v>
      </c>
      <c r="I9" s="276"/>
      <c r="J9" s="276"/>
      <c r="K9" s="276"/>
      <c r="L9" s="276"/>
      <c r="M9" s="276"/>
      <c r="N9" s="276"/>
      <c r="O9" s="29" t="s">
        <v>106</v>
      </c>
      <c r="P9" s="249" t="s">
        <v>6</v>
      </c>
      <c r="Q9" s="250"/>
      <c r="R9" s="251"/>
    </row>
    <row r="10" spans="5:20" ht="24.9" customHeight="1" x14ac:dyDescent="0.25">
      <c r="E10" s="262" t="s">
        <v>37</v>
      </c>
      <c r="F10" s="262"/>
      <c r="G10" s="262"/>
      <c r="H10" s="269" t="s">
        <v>95</v>
      </c>
      <c r="I10" s="269"/>
      <c r="J10" s="269"/>
      <c r="K10" s="269"/>
      <c r="L10" s="269"/>
      <c r="M10" s="269"/>
      <c r="N10" s="269"/>
      <c r="O10" s="29" t="s">
        <v>106</v>
      </c>
      <c r="P10" s="273" t="s">
        <v>18</v>
      </c>
      <c r="Q10" s="274"/>
      <c r="R10" s="275"/>
    </row>
    <row r="11" spans="5:20" ht="24.9" customHeight="1" x14ac:dyDescent="0.25">
      <c r="E11" s="262" t="s">
        <v>28</v>
      </c>
      <c r="F11" s="262"/>
      <c r="G11" s="262"/>
      <c r="H11" s="267" t="s">
        <v>21</v>
      </c>
      <c r="I11" s="267"/>
      <c r="J11" s="267"/>
      <c r="K11" s="267"/>
      <c r="L11" s="267"/>
      <c r="M11" s="267"/>
      <c r="N11" s="267"/>
      <c r="O11" s="29" t="s">
        <v>106</v>
      </c>
      <c r="P11" s="249" t="s">
        <v>15</v>
      </c>
      <c r="Q11" s="250"/>
      <c r="R11" s="251"/>
    </row>
    <row r="12" spans="5:20" ht="24.9" customHeight="1" x14ac:dyDescent="0.25">
      <c r="E12" s="266" t="s">
        <v>89</v>
      </c>
      <c r="F12" s="266"/>
      <c r="G12" s="266"/>
      <c r="H12" s="267" t="s">
        <v>62</v>
      </c>
      <c r="I12" s="267"/>
      <c r="J12" s="267"/>
      <c r="K12" s="267"/>
      <c r="L12" s="267"/>
      <c r="M12" s="267"/>
      <c r="N12" s="267"/>
      <c r="O12" s="29" t="s">
        <v>106</v>
      </c>
      <c r="P12" s="268" t="s">
        <v>17</v>
      </c>
      <c r="Q12" s="268"/>
      <c r="R12" s="268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0" t="s">
        <v>127</v>
      </c>
      <c r="Q13" s="271"/>
      <c r="R13" s="272"/>
    </row>
    <row r="14" spans="5:20" ht="13.8" x14ac:dyDescent="0.25">
      <c r="E14" s="265" t="s">
        <v>88</v>
      </c>
      <c r="F14" s="265"/>
      <c r="G14" s="7"/>
      <c r="H14" s="269" t="s">
        <v>49</v>
      </c>
      <c r="I14" s="269"/>
      <c r="J14" s="269"/>
      <c r="K14" s="269"/>
      <c r="L14" s="269"/>
      <c r="M14" s="269"/>
      <c r="N14" s="269"/>
      <c r="O14" s="29"/>
      <c r="P14" s="249"/>
      <c r="Q14" s="250"/>
      <c r="R14" s="251"/>
    </row>
    <row r="15" spans="5:20" ht="13.8" x14ac:dyDescent="0.25">
      <c r="E15" s="262" t="s">
        <v>29</v>
      </c>
      <c r="F15" s="262"/>
      <c r="G15" s="262"/>
      <c r="H15" s="263" t="s">
        <v>66</v>
      </c>
      <c r="I15" s="263"/>
      <c r="J15" s="263"/>
      <c r="K15" s="263"/>
      <c r="L15" s="263"/>
      <c r="M15" s="263"/>
      <c r="N15" s="263"/>
      <c r="O15" s="29"/>
      <c r="P15" s="264"/>
      <c r="Q15" s="264"/>
      <c r="R15" s="264"/>
      <c r="T15" s="131"/>
    </row>
    <row r="16" spans="5:20" ht="13.8" x14ac:dyDescent="0.25">
      <c r="E16" s="265" t="s">
        <v>64</v>
      </c>
      <c r="F16" s="265"/>
      <c r="G16" s="7"/>
      <c r="H16" s="263" t="s">
        <v>63</v>
      </c>
      <c r="I16" s="263"/>
      <c r="J16" s="263"/>
      <c r="K16" s="263"/>
      <c r="L16" s="263"/>
      <c r="M16" s="263"/>
      <c r="N16" s="263"/>
      <c r="O16" s="29" t="s">
        <v>40</v>
      </c>
      <c r="P16" s="264"/>
      <c r="Q16" s="264"/>
      <c r="R16" s="26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7" t="s">
        <v>22</v>
      </c>
      <c r="N17" s="247"/>
      <c r="O17" s="248"/>
      <c r="P17" s="249"/>
      <c r="Q17" s="250"/>
      <c r="R17" s="251"/>
    </row>
    <row r="18" spans="5:18" ht="15" customHeight="1" x14ac:dyDescent="0.25">
      <c r="E18" s="252" t="s">
        <v>80</v>
      </c>
      <c r="F18" s="253"/>
      <c r="G18" s="253"/>
      <c r="H18" s="253"/>
      <c r="I18" s="253"/>
      <c r="J18" s="254"/>
      <c r="K18" s="253"/>
      <c r="L18" s="253"/>
      <c r="M18" s="29"/>
      <c r="N18" s="116" t="s">
        <v>31</v>
      </c>
      <c r="O18" s="33" t="s">
        <v>103</v>
      </c>
      <c r="P18" s="255" t="s">
        <v>14</v>
      </c>
      <c r="Q18" s="256"/>
      <c r="R18" s="257"/>
    </row>
    <row r="19" spans="5:18" ht="13.8" x14ac:dyDescent="0.25">
      <c r="E19" s="258" t="s">
        <v>76</v>
      </c>
      <c r="F19" s="253"/>
      <c r="G19" s="253"/>
      <c r="H19" s="253"/>
      <c r="I19" s="253"/>
      <c r="J19" s="254"/>
      <c r="K19" s="253"/>
      <c r="L19" s="253"/>
      <c r="M19" s="247"/>
      <c r="N19" s="248"/>
      <c r="O19" s="34" t="s">
        <v>101</v>
      </c>
      <c r="P19" s="259" t="s">
        <v>10</v>
      </c>
      <c r="Q19" s="260"/>
      <c r="R19" s="261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31"/>
      <c r="Q20" s="232"/>
      <c r="R20" s="233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34"/>
      <c r="Q21" s="235"/>
      <c r="R21" s="236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1" t="s">
        <v>77</v>
      </c>
      <c r="Q22" s="232"/>
      <c r="R22" s="233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39" t="s">
        <v>60</v>
      </c>
      <c r="K47" s="240"/>
      <c r="L47" s="240"/>
      <c r="M47" s="241"/>
      <c r="N47" s="245" t="s">
        <v>30</v>
      </c>
      <c r="O47" s="237" t="s">
        <v>67</v>
      </c>
      <c r="P47" s="238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42"/>
      <c r="K48" s="243"/>
      <c r="L48" s="243"/>
      <c r="M48" s="244"/>
      <c r="N48" s="246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8" t="s">
        <v>3</v>
      </c>
      <c r="K49" s="219"/>
      <c r="L49" s="219"/>
      <c r="M49" s="22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1" t="s">
        <v>19</v>
      </c>
      <c r="F51" s="221"/>
      <c r="G51" s="221"/>
      <c r="H51" s="221"/>
      <c r="I51" s="221"/>
      <c r="J51" s="221"/>
      <c r="K51" s="221"/>
      <c r="L51" s="221"/>
      <c r="M51" s="221"/>
      <c r="N51" s="221"/>
      <c r="O51" s="221"/>
      <c r="P51" s="221"/>
      <c r="Q51" s="221"/>
      <c r="R51" s="221"/>
    </row>
    <row r="52" spans="5:22" ht="14.25" customHeight="1" x14ac:dyDescent="0.25">
      <c r="E52" s="221" t="s">
        <v>61</v>
      </c>
      <c r="F52" s="221"/>
      <c r="G52" s="221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</row>
    <row r="53" spans="5:22" ht="13.5" customHeight="1" x14ac:dyDescent="0.25"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3" t="s">
        <v>59</v>
      </c>
      <c r="F55" s="223"/>
      <c r="G55" s="224" t="s">
        <v>98</v>
      </c>
      <c r="H55" s="225" t="s">
        <v>56</v>
      </c>
      <c r="I55" s="226" t="s">
        <v>68</v>
      </c>
      <c r="J55" s="224" t="s">
        <v>33</v>
      </c>
      <c r="K55" s="224" t="s">
        <v>47</v>
      </c>
      <c r="L55" s="201" t="s">
        <v>97</v>
      </c>
      <c r="M55" s="224" t="s">
        <v>69</v>
      </c>
      <c r="N55" s="228" t="s">
        <v>84</v>
      </c>
      <c r="O55" s="224" t="s">
        <v>73</v>
      </c>
      <c r="P55" s="229" t="s">
        <v>48</v>
      </c>
      <c r="Q55" s="228" t="s">
        <v>83</v>
      </c>
      <c r="R55" s="201" t="s">
        <v>35</v>
      </c>
    </row>
    <row r="56" spans="5:22" ht="41.4" x14ac:dyDescent="0.25">
      <c r="E56" s="46" t="s">
        <v>109</v>
      </c>
      <c r="F56" s="10" t="s">
        <v>107</v>
      </c>
      <c r="G56" s="224"/>
      <c r="H56" s="225"/>
      <c r="I56" s="227"/>
      <c r="J56" s="224"/>
      <c r="K56" s="224"/>
      <c r="L56" s="201"/>
      <c r="M56" s="224"/>
      <c r="N56" s="228"/>
      <c r="O56" s="224"/>
      <c r="P56" s="230"/>
      <c r="Q56" s="228"/>
      <c r="R56" s="201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02" t="s">
        <v>75</v>
      </c>
      <c r="F59" s="203"/>
      <c r="G59" s="204"/>
      <c r="H59" s="205"/>
      <c r="I59" s="205"/>
      <c r="J59" s="206"/>
      <c r="K59" s="207"/>
      <c r="L59" s="208"/>
      <c r="M59" s="207"/>
      <c r="N59" s="209"/>
      <c r="O59" s="207"/>
      <c r="P59" s="207"/>
      <c r="Q59" s="210"/>
      <c r="R59" s="211"/>
    </row>
    <row r="62" spans="5:22" ht="13.8" x14ac:dyDescent="0.25">
      <c r="E62" s="202" t="s">
        <v>74</v>
      </c>
      <c r="F62" s="203"/>
      <c r="G62" s="204"/>
      <c r="H62" s="205"/>
      <c r="I62" s="205"/>
      <c r="J62" s="206"/>
      <c r="K62" s="207"/>
      <c r="L62" s="208"/>
      <c r="M62" s="207"/>
      <c r="N62" s="209"/>
      <c r="O62" s="207"/>
      <c r="P62" s="207"/>
      <c r="Q62" s="210"/>
      <c r="R62" s="211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13" t="s">
        <v>110</v>
      </c>
      <c r="F104" s="213"/>
      <c r="G104" s="213"/>
      <c r="H104" s="82" t="s">
        <v>111</v>
      </c>
      <c r="I104" s="83"/>
      <c r="J104" s="83"/>
      <c r="K104" s="5"/>
      <c r="L104" s="213" t="s">
        <v>122</v>
      </c>
      <c r="M104" s="213"/>
      <c r="N104" s="213"/>
      <c r="O104" s="95"/>
      <c r="P104" s="216" t="s">
        <v>123</v>
      </c>
      <c r="Q104" s="216" t="s">
        <v>112</v>
      </c>
      <c r="R104" s="216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14" t="s">
        <v>52</v>
      </c>
      <c r="M105" s="214"/>
      <c r="N105" s="214" t="s">
        <v>114</v>
      </c>
      <c r="O105" s="214"/>
      <c r="P105" s="217" t="s">
        <v>115</v>
      </c>
      <c r="Q105" s="217"/>
      <c r="R105" s="217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80" t="s">
        <v>124</v>
      </c>
      <c r="M106" s="280"/>
      <c r="N106" s="280"/>
      <c r="O106" s="280"/>
      <c r="P106" s="280"/>
      <c r="Q106" s="280"/>
      <c r="R106" s="280"/>
    </row>
    <row r="107" spans="5:18" x14ac:dyDescent="0.25">
      <c r="E107" s="281"/>
      <c r="F107" s="281"/>
      <c r="G107" s="281"/>
      <c r="H107" s="83"/>
      <c r="I107" s="89"/>
      <c r="J107" s="89"/>
      <c r="K107" s="5"/>
      <c r="L107" s="215" t="s">
        <v>24</v>
      </c>
      <c r="M107" s="215"/>
      <c r="N107" s="215"/>
      <c r="O107" s="89"/>
      <c r="P107" s="89"/>
      <c r="Q107" s="89"/>
      <c r="R107" s="89"/>
    </row>
    <row r="108" spans="5:18" x14ac:dyDescent="0.25">
      <c r="E108" s="212"/>
      <c r="F108" s="212"/>
      <c r="G108" s="212"/>
      <c r="H108" s="89"/>
      <c r="I108" s="89"/>
      <c r="J108" s="89"/>
      <c r="K108" s="5"/>
      <c r="L108" s="283" t="s">
        <v>117</v>
      </c>
      <c r="M108" s="283"/>
      <c r="N108" s="91"/>
      <c r="O108" s="91"/>
      <c r="P108" s="92"/>
      <c r="Q108" s="284" t="s">
        <v>118</v>
      </c>
      <c r="R108" s="284"/>
    </row>
    <row r="109" spans="5:18" x14ac:dyDescent="0.25">
      <c r="E109" s="282"/>
      <c r="F109" s="282"/>
      <c r="G109" s="282"/>
      <c r="H109" s="90"/>
      <c r="I109" s="89"/>
      <c r="J109" s="89"/>
      <c r="K109" s="5"/>
      <c r="L109" s="285" t="s">
        <v>114</v>
      </c>
      <c r="M109" s="285"/>
      <c r="N109" s="285"/>
      <c r="O109" s="285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86" t="s">
        <v>119</v>
      </c>
      <c r="R111" s="286"/>
    </row>
    <row r="112" spans="5:18" x14ac:dyDescent="0.25">
      <c r="E112" s="89"/>
      <c r="F112" s="89"/>
      <c r="G112" s="89"/>
      <c r="H112" s="89"/>
      <c r="I112" s="89"/>
      <c r="J112" s="89"/>
      <c r="K112" s="5"/>
      <c r="L112" s="279" t="s">
        <v>114</v>
      </c>
      <c r="M112" s="279"/>
      <c r="N112" s="279"/>
      <c r="O112" s="279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77" t="s">
        <v>120</v>
      </c>
      <c r="M113" s="277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78"/>
      <c r="M114" s="278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79" t="s">
        <v>114</v>
      </c>
      <c r="M115" s="279"/>
      <c r="N115" s="279"/>
      <c r="O115" s="279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9"/>
      <c r="C1" s="199"/>
      <c r="D1" s="199" t="s">
        <v>175</v>
      </c>
      <c r="E1" s="199" t="s">
        <v>174</v>
      </c>
      <c r="F1" s="200"/>
    </row>
    <row r="2" spans="1:6" x14ac:dyDescent="0.3">
      <c r="A2" s="191">
        <f>ROW()-1</f>
        <v>1</v>
      </c>
      <c r="B2" s="197">
        <v>0</v>
      </c>
      <c r="C2" s="197">
        <v>0</v>
      </c>
      <c r="D2" s="197">
        <v>0</v>
      </c>
      <c r="E2" s="198">
        <v>0</v>
      </c>
      <c r="F2" s="194">
        <v>1</v>
      </c>
    </row>
    <row r="3" spans="1:6" x14ac:dyDescent="0.3">
      <c r="A3" s="191">
        <f t="shared" ref="A3:A17" si="0">ROW()-1</f>
        <v>2</v>
      </c>
      <c r="B3" s="197">
        <v>0</v>
      </c>
      <c r="C3" s="197">
        <v>0</v>
      </c>
      <c r="D3" s="197">
        <v>0</v>
      </c>
      <c r="E3" s="198">
        <v>1</v>
      </c>
      <c r="F3" s="194">
        <v>1</v>
      </c>
    </row>
    <row r="4" spans="1:6" x14ac:dyDescent="0.3">
      <c r="A4" s="191">
        <f t="shared" si="0"/>
        <v>3</v>
      </c>
      <c r="B4" s="197">
        <v>0</v>
      </c>
      <c r="C4" s="197">
        <v>0</v>
      </c>
      <c r="D4" s="197">
        <v>1</v>
      </c>
      <c r="E4" s="197">
        <v>0</v>
      </c>
      <c r="F4" s="194">
        <v>0</v>
      </c>
    </row>
    <row r="5" spans="1:6" x14ac:dyDescent="0.3">
      <c r="A5" s="191">
        <f t="shared" si="0"/>
        <v>4</v>
      </c>
      <c r="B5" s="197">
        <v>0</v>
      </c>
      <c r="C5" s="197">
        <v>0</v>
      </c>
      <c r="D5" s="197">
        <v>1</v>
      </c>
      <c r="E5" s="197">
        <v>1</v>
      </c>
      <c r="F5" s="194">
        <v>0</v>
      </c>
    </row>
    <row r="6" spans="1:6" hidden="1" x14ac:dyDescent="0.3">
      <c r="A6" s="191">
        <f t="shared" si="0"/>
        <v>5</v>
      </c>
      <c r="B6" s="197">
        <v>0</v>
      </c>
      <c r="C6" s="197">
        <v>1</v>
      </c>
      <c r="D6" s="197">
        <v>0</v>
      </c>
      <c r="E6" s="197">
        <v>0</v>
      </c>
      <c r="F6" s="194"/>
    </row>
    <row r="7" spans="1:6" hidden="1" x14ac:dyDescent="0.3">
      <c r="A7" s="191">
        <f t="shared" si="0"/>
        <v>6</v>
      </c>
      <c r="B7" s="197">
        <v>0</v>
      </c>
      <c r="C7" s="197">
        <v>1</v>
      </c>
      <c r="D7" s="197">
        <v>0</v>
      </c>
      <c r="E7" s="197">
        <v>1</v>
      </c>
      <c r="F7" s="194"/>
    </row>
    <row r="8" spans="1:6" hidden="1" x14ac:dyDescent="0.3">
      <c r="A8" s="191">
        <f t="shared" si="0"/>
        <v>7</v>
      </c>
      <c r="B8" s="197">
        <v>0</v>
      </c>
      <c r="C8" s="197">
        <v>1</v>
      </c>
      <c r="D8" s="197">
        <v>1</v>
      </c>
      <c r="E8" s="197">
        <v>0</v>
      </c>
      <c r="F8" s="194"/>
    </row>
    <row r="9" spans="1:6" hidden="1" x14ac:dyDescent="0.3">
      <c r="A9" s="191">
        <f t="shared" si="0"/>
        <v>8</v>
      </c>
      <c r="B9" s="197">
        <v>0</v>
      </c>
      <c r="C9" s="197">
        <v>1</v>
      </c>
      <c r="D9" s="197">
        <v>1</v>
      </c>
      <c r="E9" s="198">
        <v>1</v>
      </c>
      <c r="F9" s="194"/>
    </row>
    <row r="10" spans="1:6" hidden="1" x14ac:dyDescent="0.3">
      <c r="A10" s="191">
        <f t="shared" si="0"/>
        <v>9</v>
      </c>
      <c r="B10" s="197">
        <v>1</v>
      </c>
      <c r="C10" s="197">
        <v>0</v>
      </c>
      <c r="D10" s="197">
        <v>0</v>
      </c>
      <c r="E10" s="198">
        <v>0</v>
      </c>
      <c r="F10" s="194"/>
    </row>
    <row r="11" spans="1:6" hidden="1" x14ac:dyDescent="0.3">
      <c r="A11" s="191">
        <f t="shared" si="0"/>
        <v>10</v>
      </c>
      <c r="B11" s="197">
        <v>1</v>
      </c>
      <c r="C11" s="197">
        <v>0</v>
      </c>
      <c r="D11" s="197">
        <v>0</v>
      </c>
      <c r="E11" s="198">
        <v>1</v>
      </c>
      <c r="F11" s="194"/>
    </row>
    <row r="12" spans="1:6" hidden="1" x14ac:dyDescent="0.3">
      <c r="A12" s="191">
        <f t="shared" si="0"/>
        <v>11</v>
      </c>
      <c r="B12" s="197">
        <v>1</v>
      </c>
      <c r="C12" s="197">
        <v>0</v>
      </c>
      <c r="D12" s="197">
        <v>1</v>
      </c>
      <c r="E12" s="197">
        <v>0</v>
      </c>
      <c r="F12" s="194"/>
    </row>
    <row r="13" spans="1:6" hidden="1" x14ac:dyDescent="0.3">
      <c r="A13" s="191">
        <f t="shared" si="0"/>
        <v>12</v>
      </c>
      <c r="B13" s="197">
        <v>1</v>
      </c>
      <c r="C13" s="197">
        <v>0</v>
      </c>
      <c r="D13" s="197">
        <v>1</v>
      </c>
      <c r="E13" s="197">
        <v>1</v>
      </c>
      <c r="F13" s="194"/>
    </row>
    <row r="14" spans="1:6" hidden="1" x14ac:dyDescent="0.3">
      <c r="A14" s="191">
        <f t="shared" si="0"/>
        <v>13</v>
      </c>
      <c r="B14" s="197">
        <v>1</v>
      </c>
      <c r="C14" s="197">
        <v>1</v>
      </c>
      <c r="D14" s="197">
        <v>0</v>
      </c>
      <c r="E14" s="197">
        <v>0</v>
      </c>
      <c r="F14" s="194"/>
    </row>
    <row r="15" spans="1:6" hidden="1" x14ac:dyDescent="0.3">
      <c r="A15" s="191">
        <f t="shared" si="0"/>
        <v>14</v>
      </c>
      <c r="B15" s="197">
        <v>1</v>
      </c>
      <c r="C15" s="197">
        <v>1</v>
      </c>
      <c r="D15" s="197">
        <v>0</v>
      </c>
      <c r="E15" s="197">
        <v>1</v>
      </c>
      <c r="F15" s="194"/>
    </row>
    <row r="16" spans="1:6" hidden="1" x14ac:dyDescent="0.3">
      <c r="A16" s="191">
        <f t="shared" si="0"/>
        <v>15</v>
      </c>
      <c r="B16" s="197">
        <v>1</v>
      </c>
      <c r="C16" s="197">
        <v>1</v>
      </c>
      <c r="D16" s="197">
        <v>1</v>
      </c>
      <c r="E16" s="197">
        <v>0</v>
      </c>
      <c r="F16" s="194"/>
    </row>
    <row r="17" spans="1:6" hidden="1" x14ac:dyDescent="0.3">
      <c r="A17" s="191">
        <f t="shared" si="0"/>
        <v>16</v>
      </c>
      <c r="B17" s="197">
        <v>1</v>
      </c>
      <c r="C17" s="197">
        <v>1</v>
      </c>
      <c r="D17" s="197">
        <v>1</v>
      </c>
      <c r="E17" s="198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/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95" t="s">
        <v>173</v>
      </c>
      <c r="B11" s="173" t="s">
        <v>170</v>
      </c>
      <c r="C11" s="171">
        <v>663</v>
      </c>
    </row>
    <row r="12" spans="1:3" x14ac:dyDescent="0.3">
      <c r="A12" s="174" t="s">
        <v>160</v>
      </c>
      <c r="B12" s="170" t="s">
        <v>155</v>
      </c>
      <c r="C12" s="171"/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17"/>
  <sheetViews>
    <sheetView workbookViewId="0">
      <selection activeCell="K12" sqref="K12"/>
    </sheetView>
  </sheetViews>
  <sheetFormatPr defaultRowHeight="14.4" x14ac:dyDescent="0.3"/>
  <cols>
    <col min="2" max="2" width="8.88671875" style="196"/>
  </cols>
  <sheetData>
    <row r="7" spans="1:2" x14ac:dyDescent="0.3">
      <c r="A7">
        <v>252</v>
      </c>
      <c r="B7" s="196">
        <f t="shared" ref="B7:B16" si="0">A7/(ROW()-1)</f>
        <v>42</v>
      </c>
    </row>
    <row r="8" spans="1:2" x14ac:dyDescent="0.3">
      <c r="A8">
        <v>252</v>
      </c>
      <c r="B8" s="196">
        <f t="shared" si="0"/>
        <v>36</v>
      </c>
    </row>
    <row r="9" spans="1:2" x14ac:dyDescent="0.3">
      <c r="A9">
        <v>257</v>
      </c>
      <c r="B9" s="196">
        <f t="shared" si="0"/>
        <v>32.125</v>
      </c>
    </row>
    <row r="10" spans="1:2" x14ac:dyDescent="0.3">
      <c r="A10">
        <v>381</v>
      </c>
      <c r="B10" s="196">
        <f t="shared" si="0"/>
        <v>42.333333333333336</v>
      </c>
    </row>
    <row r="12" spans="1:2" x14ac:dyDescent="0.3">
      <c r="A12">
        <v>443</v>
      </c>
      <c r="B12" s="196">
        <f t="shared" si="0"/>
        <v>40.272727272727273</v>
      </c>
    </row>
    <row r="13" spans="1:2" x14ac:dyDescent="0.3">
      <c r="A13">
        <f>60+186+85+123+80</f>
        <v>534</v>
      </c>
      <c r="B13" s="196">
        <f t="shared" si="0"/>
        <v>44.5</v>
      </c>
    </row>
    <row r="14" spans="1:2" x14ac:dyDescent="0.3">
      <c r="A14">
        <f>60+190 +80+81+122</f>
        <v>533</v>
      </c>
      <c r="B14" s="196">
        <f t="shared" si="0"/>
        <v>41</v>
      </c>
    </row>
    <row r="15" spans="1:2" x14ac:dyDescent="0.3">
      <c r="A15">
        <f>136+79+85+143+122</f>
        <v>565</v>
      </c>
      <c r="B15" s="196">
        <f t="shared" si="0"/>
        <v>40.357142857142854</v>
      </c>
    </row>
    <row r="16" spans="1:2" x14ac:dyDescent="0.3">
      <c r="A16">
        <f>150+143+144+122+85</f>
        <v>644</v>
      </c>
      <c r="B16" s="196">
        <f t="shared" si="0"/>
        <v>42.93333333333333</v>
      </c>
    </row>
    <row r="17" spans="1:2" x14ac:dyDescent="0.3">
      <c r="A17">
        <f>148+149+159+85+122</f>
        <v>663</v>
      </c>
      <c r="B17" s="196">
        <f>A17/(ROW()-1)</f>
        <v>41.4375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31" t="s">
        <v>46</v>
      </c>
      <c r="Q6" s="232"/>
      <c r="R6" s="233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31" t="s">
        <v>4</v>
      </c>
      <c r="Q7" s="232"/>
      <c r="R7" s="233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31"/>
      <c r="Q8" s="232"/>
      <c r="R8" s="233"/>
    </row>
    <row r="9" spans="5:20" ht="15" customHeight="1" x14ac:dyDescent="0.25">
      <c r="E9" s="262" t="s">
        <v>36</v>
      </c>
      <c r="F9" s="262"/>
      <c r="G9" s="262"/>
      <c r="H9" s="276" t="s">
        <v>20</v>
      </c>
      <c r="I9" s="276"/>
      <c r="J9" s="276"/>
      <c r="K9" s="276"/>
      <c r="L9" s="276"/>
      <c r="M9" s="276"/>
      <c r="N9" s="276"/>
      <c r="O9" s="162" t="s">
        <v>106</v>
      </c>
      <c r="P9" s="249" t="s">
        <v>6</v>
      </c>
      <c r="Q9" s="250"/>
      <c r="R9" s="251"/>
    </row>
    <row r="10" spans="5:20" ht="24.9" customHeight="1" x14ac:dyDescent="0.25">
      <c r="E10" s="262" t="s">
        <v>37</v>
      </c>
      <c r="F10" s="262"/>
      <c r="G10" s="262"/>
      <c r="H10" s="269" t="s">
        <v>95</v>
      </c>
      <c r="I10" s="269"/>
      <c r="J10" s="269"/>
      <c r="K10" s="269"/>
      <c r="L10" s="269"/>
      <c r="M10" s="269"/>
      <c r="N10" s="269"/>
      <c r="O10" s="162" t="s">
        <v>106</v>
      </c>
      <c r="P10" s="273" t="s">
        <v>18</v>
      </c>
      <c r="Q10" s="274"/>
      <c r="R10" s="275"/>
    </row>
    <row r="11" spans="5:20" ht="24.9" customHeight="1" x14ac:dyDescent="0.25">
      <c r="E11" s="262" t="s">
        <v>28</v>
      </c>
      <c r="F11" s="262"/>
      <c r="G11" s="262"/>
      <c r="H11" s="267" t="s">
        <v>21</v>
      </c>
      <c r="I11" s="267"/>
      <c r="J11" s="267"/>
      <c r="K11" s="267"/>
      <c r="L11" s="267"/>
      <c r="M11" s="267"/>
      <c r="N11" s="267"/>
      <c r="O11" s="162" t="s">
        <v>106</v>
      </c>
      <c r="P11" s="249" t="s">
        <v>15</v>
      </c>
      <c r="Q11" s="250"/>
      <c r="R11" s="251"/>
    </row>
    <row r="12" spans="5:20" ht="24.9" customHeight="1" x14ac:dyDescent="0.25">
      <c r="E12" s="266" t="s">
        <v>89</v>
      </c>
      <c r="F12" s="266"/>
      <c r="G12" s="266"/>
      <c r="H12" s="267" t="s">
        <v>62</v>
      </c>
      <c r="I12" s="267"/>
      <c r="J12" s="267"/>
      <c r="K12" s="267"/>
      <c r="L12" s="267"/>
      <c r="M12" s="267"/>
      <c r="N12" s="267"/>
      <c r="O12" s="162" t="s">
        <v>106</v>
      </c>
      <c r="P12" s="268" t="s">
        <v>17</v>
      </c>
      <c r="Q12" s="268"/>
      <c r="R12" s="268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0" t="s">
        <v>127</v>
      </c>
      <c r="Q13" s="271"/>
      <c r="R13" s="272"/>
    </row>
    <row r="14" spans="5:20" ht="13.8" x14ac:dyDescent="0.25">
      <c r="E14" s="294" t="s">
        <v>88</v>
      </c>
      <c r="F14" s="294"/>
      <c r="G14" s="7"/>
      <c r="H14" s="269" t="s">
        <v>49</v>
      </c>
      <c r="I14" s="269"/>
      <c r="J14" s="269"/>
      <c r="K14" s="269"/>
      <c r="L14" s="269"/>
      <c r="M14" s="269"/>
      <c r="N14" s="269"/>
      <c r="O14" s="162"/>
      <c r="P14" s="249"/>
      <c r="Q14" s="250"/>
      <c r="R14" s="251"/>
    </row>
    <row r="15" spans="5:20" ht="13.8" x14ac:dyDescent="0.25">
      <c r="E15" s="262" t="s">
        <v>29</v>
      </c>
      <c r="F15" s="262"/>
      <c r="G15" s="262"/>
      <c r="H15" s="263" t="s">
        <v>66</v>
      </c>
      <c r="I15" s="263"/>
      <c r="J15" s="263"/>
      <c r="K15" s="263"/>
      <c r="L15" s="263"/>
      <c r="M15" s="263"/>
      <c r="N15" s="263"/>
      <c r="O15" s="162"/>
      <c r="P15" s="264"/>
      <c r="Q15" s="264"/>
      <c r="R15" s="264"/>
      <c r="T15" s="131"/>
    </row>
    <row r="16" spans="5:20" ht="13.8" x14ac:dyDescent="0.25">
      <c r="E16" s="294" t="s">
        <v>64</v>
      </c>
      <c r="F16" s="294"/>
      <c r="G16" s="7"/>
      <c r="H16" s="263" t="s">
        <v>63</v>
      </c>
      <c r="I16" s="263"/>
      <c r="J16" s="263"/>
      <c r="K16" s="263"/>
      <c r="L16" s="263"/>
      <c r="M16" s="263"/>
      <c r="N16" s="263"/>
      <c r="O16" s="162" t="s">
        <v>40</v>
      </c>
      <c r="P16" s="264"/>
      <c r="Q16" s="264"/>
      <c r="R16" s="26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7" t="s">
        <v>22</v>
      </c>
      <c r="N17" s="247"/>
      <c r="O17" s="248"/>
      <c r="P17" s="249"/>
      <c r="Q17" s="250"/>
      <c r="R17" s="251"/>
    </row>
    <row r="18" spans="5:18" ht="15" customHeight="1" x14ac:dyDescent="0.25">
      <c r="E18" s="252" t="s">
        <v>80</v>
      </c>
      <c r="F18" s="253"/>
      <c r="G18" s="253"/>
      <c r="H18" s="253"/>
      <c r="I18" s="253"/>
      <c r="J18" s="254"/>
      <c r="K18" s="253"/>
      <c r="L18" s="253"/>
      <c r="M18" s="162"/>
      <c r="N18" s="124" t="s">
        <v>31</v>
      </c>
      <c r="O18" s="33" t="s">
        <v>103</v>
      </c>
      <c r="P18" s="255" t="s">
        <v>14</v>
      </c>
      <c r="Q18" s="256"/>
      <c r="R18" s="257"/>
    </row>
    <row r="19" spans="5:18" ht="13.8" x14ac:dyDescent="0.25">
      <c r="E19" s="258" t="s">
        <v>76</v>
      </c>
      <c r="F19" s="253"/>
      <c r="G19" s="253"/>
      <c r="H19" s="253"/>
      <c r="I19" s="253"/>
      <c r="J19" s="254"/>
      <c r="K19" s="253"/>
      <c r="L19" s="253"/>
      <c r="M19" s="247"/>
      <c r="N19" s="248"/>
      <c r="O19" s="34" t="s">
        <v>101</v>
      </c>
      <c r="P19" s="259" t="s">
        <v>10</v>
      </c>
      <c r="Q19" s="260"/>
      <c r="R19" s="261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31"/>
      <c r="Q20" s="232"/>
      <c r="R20" s="233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34"/>
      <c r="Q21" s="235"/>
      <c r="R21" s="236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1" t="s">
        <v>77</v>
      </c>
      <c r="Q22" s="232"/>
      <c r="R22" s="233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8" t="s">
        <v>60</v>
      </c>
      <c r="K47" s="289"/>
      <c r="L47" s="289"/>
      <c r="M47" s="290"/>
      <c r="N47" s="245" t="s">
        <v>30</v>
      </c>
      <c r="O47" s="237" t="s">
        <v>67</v>
      </c>
      <c r="P47" s="238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1"/>
      <c r="K48" s="292"/>
      <c r="L48" s="292"/>
      <c r="M48" s="293"/>
      <c r="N48" s="246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8" t="s">
        <v>3</v>
      </c>
      <c r="K49" s="219"/>
      <c r="L49" s="219"/>
      <c r="M49" s="22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1" t="s">
        <v>19</v>
      </c>
      <c r="F51" s="221"/>
      <c r="G51" s="221"/>
      <c r="H51" s="221"/>
      <c r="I51" s="221"/>
      <c r="J51" s="221"/>
      <c r="K51" s="221"/>
      <c r="L51" s="221"/>
      <c r="M51" s="221"/>
      <c r="N51" s="221"/>
      <c r="O51" s="221"/>
      <c r="P51" s="221"/>
      <c r="Q51" s="221"/>
      <c r="R51" s="221"/>
    </row>
    <row r="52" spans="5:22" ht="14.25" customHeight="1" x14ac:dyDescent="0.25">
      <c r="E52" s="221" t="s">
        <v>61</v>
      </c>
      <c r="F52" s="221"/>
      <c r="G52" s="221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</row>
    <row r="53" spans="5:22" ht="13.5" customHeight="1" x14ac:dyDescent="0.25"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3" t="s">
        <v>59</v>
      </c>
      <c r="F55" s="223"/>
      <c r="G55" s="224" t="s">
        <v>98</v>
      </c>
      <c r="H55" s="287" t="s">
        <v>56</v>
      </c>
      <c r="I55" s="226" t="s">
        <v>68</v>
      </c>
      <c r="J55" s="224" t="s">
        <v>33</v>
      </c>
      <c r="K55" s="224" t="s">
        <v>47</v>
      </c>
      <c r="L55" s="201" t="s">
        <v>97</v>
      </c>
      <c r="M55" s="224" t="s">
        <v>69</v>
      </c>
      <c r="N55" s="228" t="s">
        <v>84</v>
      </c>
      <c r="O55" s="224" t="s">
        <v>73</v>
      </c>
      <c r="P55" s="229" t="s">
        <v>48</v>
      </c>
      <c r="Q55" s="228" t="s">
        <v>83</v>
      </c>
      <c r="R55" s="201" t="s">
        <v>35</v>
      </c>
    </row>
    <row r="56" spans="5:22" ht="41.4" x14ac:dyDescent="0.25">
      <c r="E56" s="161" t="s">
        <v>109</v>
      </c>
      <c r="F56" s="10" t="s">
        <v>107</v>
      </c>
      <c r="G56" s="224"/>
      <c r="H56" s="287"/>
      <c r="I56" s="227"/>
      <c r="J56" s="224"/>
      <c r="K56" s="224"/>
      <c r="L56" s="201"/>
      <c r="M56" s="224"/>
      <c r="N56" s="228"/>
      <c r="O56" s="224"/>
      <c r="P56" s="230"/>
      <c r="Q56" s="228"/>
      <c r="R56" s="201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02" t="s">
        <v>75</v>
      </c>
      <c r="F59" s="203"/>
      <c r="G59" s="204"/>
      <c r="H59" s="205"/>
      <c r="I59" s="205"/>
      <c r="J59" s="206"/>
      <c r="K59" s="207"/>
      <c r="L59" s="208"/>
      <c r="M59" s="207"/>
      <c r="N59" s="209"/>
      <c r="O59" s="207"/>
      <c r="P59" s="207"/>
      <c r="Q59" s="210"/>
      <c r="R59" s="211"/>
    </row>
    <row r="62" spans="5:22" ht="13.8" x14ac:dyDescent="0.25">
      <c r="E62" s="202" t="s">
        <v>74</v>
      </c>
      <c r="F62" s="203"/>
      <c r="G62" s="204"/>
      <c r="H62" s="205"/>
      <c r="I62" s="205"/>
      <c r="J62" s="206"/>
      <c r="K62" s="207"/>
      <c r="L62" s="208"/>
      <c r="M62" s="207"/>
      <c r="N62" s="209"/>
      <c r="O62" s="207"/>
      <c r="P62" s="207"/>
      <c r="Q62" s="210"/>
      <c r="R62" s="211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13" t="s">
        <v>110</v>
      </c>
      <c r="F100" s="213"/>
      <c r="G100" s="213"/>
      <c r="H100" s="166" t="s">
        <v>111</v>
      </c>
      <c r="I100" s="83"/>
      <c r="J100" s="83"/>
      <c r="K100" s="5"/>
      <c r="L100" s="213" t="s">
        <v>122</v>
      </c>
      <c r="M100" s="213"/>
      <c r="N100" s="213"/>
      <c r="O100" s="166"/>
      <c r="P100" s="216" t="s">
        <v>123</v>
      </c>
      <c r="Q100" s="216" t="s">
        <v>112</v>
      </c>
      <c r="R100" s="216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14" t="s">
        <v>52</v>
      </c>
      <c r="M101" s="214"/>
      <c r="N101" s="214" t="s">
        <v>114</v>
      </c>
      <c r="O101" s="214"/>
      <c r="P101" s="217" t="s">
        <v>115</v>
      </c>
      <c r="Q101" s="217"/>
      <c r="R101" s="217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80" t="s">
        <v>124</v>
      </c>
      <c r="M102" s="280"/>
      <c r="N102" s="280"/>
      <c r="O102" s="280"/>
      <c r="P102" s="280"/>
      <c r="Q102" s="280"/>
      <c r="R102" s="280"/>
    </row>
    <row r="103" spans="5:18" x14ac:dyDescent="0.25">
      <c r="E103" s="281"/>
      <c r="F103" s="281"/>
      <c r="G103" s="281"/>
      <c r="H103" s="83"/>
      <c r="I103" s="89"/>
      <c r="J103" s="89"/>
      <c r="K103" s="5"/>
      <c r="L103" s="215" t="s">
        <v>24</v>
      </c>
      <c r="M103" s="215"/>
      <c r="N103" s="215"/>
      <c r="O103" s="89"/>
      <c r="P103" s="89"/>
      <c r="Q103" s="89"/>
      <c r="R103" s="89"/>
    </row>
    <row r="104" spans="5:18" x14ac:dyDescent="0.25">
      <c r="E104" s="212"/>
      <c r="F104" s="212"/>
      <c r="G104" s="212"/>
      <c r="H104" s="89"/>
      <c r="I104" s="89"/>
      <c r="J104" s="89"/>
      <c r="K104" s="5"/>
      <c r="L104" s="283" t="s">
        <v>117</v>
      </c>
      <c r="M104" s="283"/>
      <c r="N104" s="91"/>
      <c r="O104" s="91"/>
      <c r="P104" s="92"/>
      <c r="Q104" s="284" t="s">
        <v>118</v>
      </c>
      <c r="R104" s="284"/>
    </row>
    <row r="105" spans="5:18" x14ac:dyDescent="0.25">
      <c r="E105" s="282"/>
      <c r="F105" s="282"/>
      <c r="G105" s="282"/>
      <c r="H105" s="90"/>
      <c r="I105" s="89"/>
      <c r="J105" s="89"/>
      <c r="K105" s="5"/>
      <c r="L105" s="285" t="s">
        <v>114</v>
      </c>
      <c r="M105" s="285"/>
      <c r="N105" s="285"/>
      <c r="O105" s="285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86" t="s">
        <v>119</v>
      </c>
      <c r="R107" s="286"/>
    </row>
    <row r="108" spans="5:18" x14ac:dyDescent="0.25">
      <c r="E108" s="89"/>
      <c r="F108" s="89"/>
      <c r="G108" s="89"/>
      <c r="H108" s="89"/>
      <c r="I108" s="89"/>
      <c r="J108" s="89"/>
      <c r="K108" s="5"/>
      <c r="L108" s="279" t="s">
        <v>114</v>
      </c>
      <c r="M108" s="279"/>
      <c r="N108" s="279"/>
      <c r="O108" s="279"/>
      <c r="P108" s="85" t="s">
        <v>115</v>
      </c>
      <c r="Q108" s="85"/>
      <c r="R108" s="85"/>
    </row>
    <row r="109" spans="5:18" x14ac:dyDescent="0.25">
      <c r="L109" s="277" t="s">
        <v>120</v>
      </c>
      <c r="M109" s="277"/>
      <c r="N109" s="96"/>
      <c r="P109" s="97"/>
      <c r="Q109" s="98"/>
      <c r="R109" s="99"/>
    </row>
    <row r="110" spans="5:18" x14ac:dyDescent="0.25">
      <c r="L110" s="278"/>
      <c r="M110" s="278"/>
      <c r="N110" s="96"/>
      <c r="P110" s="100"/>
      <c r="Q110" s="101"/>
      <c r="R110" s="102" t="s">
        <v>121</v>
      </c>
    </row>
    <row r="111" spans="5:18" x14ac:dyDescent="0.25">
      <c r="L111" s="279" t="s">
        <v>114</v>
      </c>
      <c r="M111" s="279"/>
      <c r="N111" s="279"/>
      <c r="O111" s="279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2022-06-18T23:56:12Z</dcterms:modified>
</cp:coreProperties>
</file>