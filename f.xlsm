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3FB27F07-233A-4387-894E-3822ADC92064}" xr6:coauthVersionLast="37" xr6:coauthVersionMax="45" xr10:uidLastSave="{00000000-0000-0000-0000-000000000000}"/>
  <bookViews>
    <workbookView xWindow="-108" yWindow="-108" windowWidth="19416" windowHeight="10416" activeTab="3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  <sheet name="Лист2" sheetId="9" r:id="rId7"/>
    <sheet name="Лист3" sheetId="10" r:id="rId8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24" i="5" l="1"/>
  <c r="B23" i="5" l="1"/>
  <c r="A23" i="5"/>
  <c r="A21" i="5" l="1"/>
  <c r="B21" i="5" s="1"/>
  <c r="A19" i="5" l="1"/>
  <c r="B19" i="5" s="1"/>
  <c r="A18" i="5" l="1"/>
  <c r="B18" i="5" s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A17" i="5"/>
  <c r="B17" i="5" s="1"/>
  <c r="A16" i="5" l="1"/>
  <c r="B16" i="5" s="1"/>
  <c r="A15" i="5" l="1"/>
  <c r="B15" i="5" s="1"/>
  <c r="A14" i="5" l="1"/>
  <c r="B14" i="5" s="1"/>
  <c r="A13" i="5" l="1"/>
  <c r="B13" i="5" s="1"/>
</calcChain>
</file>

<file path=xl/sharedStrings.xml><?xml version="1.0" encoding="utf-8"?>
<sst xmlns="http://schemas.openxmlformats.org/spreadsheetml/2006/main" count="372" uniqueCount="191">
  <si>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</si>
  <si>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</si>
  <si>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</si>
  <si>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</si>
  <si>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</si>
  <si>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</si>
  <si>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</si>
  <si>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</si>
  <si>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</si>
  <si>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</si>
  <si>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</si>
  <si>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</si>
  <si>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</si>
  <si>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</si>
  <si>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</si>
  <si>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</si>
  <si>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</si>
  <si>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</si>
  <si>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</si>
  <si>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</si>
  <si>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</si>
  <si>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</si>
  <si>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</si>
  <si>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</si>
  <si>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</si>
  <si>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</si>
  <si>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</si>
  <si>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</si>
  <si>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</si>
  <si>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</si>
  <si>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</si>
  <si>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</si>
  <si>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</si>
  <si>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</si>
  <si>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</si>
  <si>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</si>
  <si>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</si>
  <si>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</si>
  <si>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</si>
  <si>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</si>
  <si>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</si>
  <si>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</si>
  <si>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</si>
  <si>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</si>
  <si>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</si>
  <si>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</si>
  <si>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</si>
  <si>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</si>
  <si>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</si>
  <si>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</si>
  <si>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</si>
  <si>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</si>
  <si>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</si>
  <si>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</si>
  <si>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</si>
  <si>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</si>
  <si>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</si>
  <si>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</si>
  <si>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</si>
  <si>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</si>
  <si>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</si>
  <si>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</si>
  <si>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</si>
  <si>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</si>
  <si>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</si>
  <si>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</si>
  <si>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</si>
  <si>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</si>
  <si>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</si>
  <si>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</si>
  <si>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</si>
  <si>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</si>
  <si>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</si>
  <si>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</si>
  <si>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</si>
  <si>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</si>
  <si>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</si>
  <si>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</si>
  <si>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</si>
  <si>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</si>
  <si>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</si>
  <si>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</si>
  <si>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</si>
  <si>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</si>
  <si>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</si>
  <si>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</si>
  <si>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</si>
  <si>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</si>
  <si>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</si>
  <si>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</si>
  <si>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</si>
  <si>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</si>
  <si>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</si>
  <si>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</si>
  <si>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</si>
  <si>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</si>
  <si>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</si>
  <si>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</si>
  <si>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</si>
  <si>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</si>
  <si>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</si>
  <si>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</si>
  <si>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</si>
  <si>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</si>
  <si>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</si>
  <si>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</si>
  <si>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</si>
  <si>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</si>
  <si>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</si>
  <si>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</si>
  <si>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</si>
  <si>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</si>
  <si>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</si>
  <si>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</si>
  <si>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</si>
  <si>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</si>
  <si>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</si>
  <si>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</si>
  <si>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</si>
  <si>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</si>
  <si>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</si>
  <si>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</si>
  <si>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</si>
  <si>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</si>
  <si>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</si>
  <si>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</si>
  <si>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</si>
  <si>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</si>
  <si>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</si>
  <si>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</si>
  <si>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</si>
  <si>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</si>
  <si>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</si>
  <si>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</si>
  <si>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</si>
  <si>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</si>
  <si>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</si>
  <si>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</si>
  <si>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</si>
  <si>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</si>
  <si>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</si>
  <si>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</si>
  <si>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</si>
  <si>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</si>
  <si>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</si>
  <si>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</si>
  <si>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</si>
  <si>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</si>
  <si>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</si>
  <si>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</si>
  <si>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</si>
  <si>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</si>
  <si>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</si>
  <si>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</si>
  <si>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</si>
  <si>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</si>
  <si>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</si>
  <si>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</si>
  <si>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</si>
  <si>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</si>
  <si>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</si>
  <si>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</si>
  <si>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</si>
  <si>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</si>
  <si>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</si>
  <si>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</si>
  <si>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</si>
  <si>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</si>
  <si>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</si>
  <si>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</si>
  <si>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</si>
  <si>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</si>
  <si>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</si>
  <si>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</si>
  <si>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</si>
  <si>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</si>
  <si>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Итерация exclude</t>
  </si>
  <si>
    <t xml:space="preserve">Move::No
Имя: точное
    в списке
    требуется
</t>
  </si>
  <si>
    <t>выход</t>
  </si>
  <si>
    <t>Move::Yes
Имя: точное
    в списке</t>
  </si>
  <si>
    <t xml:space="preserve">Имя: частичное:
    в списке
</t>
  </si>
  <si>
    <t>Да</t>
  </si>
  <si>
    <t>Нет</t>
  </si>
  <si>
    <t>в списке</t>
  </si>
  <si>
    <t>Move::No</t>
  </si>
  <si>
    <t>требуется</t>
  </si>
  <si>
    <r>
      <t xml:space="preserve">Передано имя из акта,
ищем его в exclude
 </t>
    </r>
    <r>
      <rPr>
        <sz val="11"/>
        <color theme="4" tint="0.39997558519241921"/>
        <rFont val="Calibri"/>
        <family val="2"/>
        <charset val="204"/>
        <scheme val="minor"/>
      </rPr>
      <t>не в списке
    не требуется</t>
    </r>
  </si>
  <si>
    <t>Поиск точный?</t>
  </si>
  <si>
    <t>Есть совпадения?</t>
  </si>
  <si>
    <t>ДА</t>
  </si>
  <si>
    <t>19-24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</si>
</sst>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  <font>
      <sz val="11"/>
      <color theme="4" tint="0.39997558519241921"/>
      <name val="Calibri"/>
      <family val="2"/>
      <scheme val="minor"/>
    </font>
    <font>
      <sz val="11"/>
      <color theme="4" tint="0.3999755851924192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302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0" fontId="0" fillId="9" borderId="1" xfId="0" applyFill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6" zoomScale="70" zoomScaleNormal="70" zoomScaleSheetLayoutView="100" workbookViewId="0">
      <selection activeCell="I84" sqref="I84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8" t="s">
        <v>46</v>
      </c>
      <c r="Q6" s="219"/>
      <c r="R6" s="220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8" t="s">
        <v>4</v>
      </c>
      <c r="Q7" s="219"/>
      <c r="R7" s="220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8"/>
      <c r="Q8" s="219"/>
      <c r="R8" s="220"/>
    </row>
    <row r="9" spans="5:20" ht="15" customHeight="1" x14ac:dyDescent="0.25">
      <c r="E9" s="221" t="s">
        <v>36</v>
      </c>
      <c r="F9" s="221"/>
      <c r="G9" s="221"/>
      <c r="H9" s="222" t="s">
        <v>20</v>
      </c>
      <c r="I9" s="222"/>
      <c r="J9" s="222"/>
      <c r="K9" s="222"/>
      <c r="L9" s="222"/>
      <c r="M9" s="222"/>
      <c r="N9" s="222"/>
      <c r="O9" s="29" t="s">
        <v>106</v>
      </c>
      <c r="P9" s="223" t="s">
        <v>6</v>
      </c>
      <c r="Q9" s="224"/>
      <c r="R9" s="225"/>
    </row>
    <row r="10" spans="5:20" ht="24.9" customHeight="1" x14ac:dyDescent="0.25">
      <c r="E10" s="221" t="s">
        <v>37</v>
      </c>
      <c r="F10" s="221"/>
      <c r="G10" s="221"/>
      <c r="H10" s="226" t="s">
        <v>95</v>
      </c>
      <c r="I10" s="226"/>
      <c r="J10" s="226"/>
      <c r="K10" s="226"/>
      <c r="L10" s="226"/>
      <c r="M10" s="226"/>
      <c r="N10" s="226"/>
      <c r="O10" s="29" t="s">
        <v>106</v>
      </c>
      <c r="P10" s="227" t="s">
        <v>18</v>
      </c>
      <c r="Q10" s="228"/>
      <c r="R10" s="229"/>
    </row>
    <row r="11" spans="5:20" ht="24.9" customHeight="1" x14ac:dyDescent="0.25">
      <c r="E11" s="221" t="s">
        <v>28</v>
      </c>
      <c r="F11" s="221"/>
      <c r="G11" s="221"/>
      <c r="H11" s="230" t="s">
        <v>21</v>
      </c>
      <c r="I11" s="230"/>
      <c r="J11" s="230"/>
      <c r="K11" s="230"/>
      <c r="L11" s="230"/>
      <c r="M11" s="230"/>
      <c r="N11" s="230"/>
      <c r="O11" s="29" t="s">
        <v>106</v>
      </c>
      <c r="P11" s="223" t="s">
        <v>15</v>
      </c>
      <c r="Q11" s="224"/>
      <c r="R11" s="225"/>
    </row>
    <row r="12" spans="5:20" ht="24.9" customHeight="1" x14ac:dyDescent="0.25">
      <c r="E12" s="231" t="s">
        <v>89</v>
      </c>
      <c r="F12" s="231"/>
      <c r="G12" s="231"/>
      <c r="H12" s="230" t="s">
        <v>62</v>
      </c>
      <c r="I12" s="230"/>
      <c r="J12" s="230"/>
      <c r="K12" s="230"/>
      <c r="L12" s="230"/>
      <c r="M12" s="230"/>
      <c r="N12" s="230"/>
      <c r="O12" s="29" t="s">
        <v>106</v>
      </c>
      <c r="P12" s="232" t="s">
        <v>17</v>
      </c>
      <c r="Q12" s="232"/>
      <c r="R12" s="232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34" t="s">
        <v>127</v>
      </c>
      <c r="Q13" s="235"/>
      <c r="R13" s="236"/>
    </row>
    <row r="14" spans="5:20" ht="13.8" x14ac:dyDescent="0.25">
      <c r="E14" s="233" t="s">
        <v>88</v>
      </c>
      <c r="F14" s="233"/>
      <c r="G14" s="7"/>
      <c r="H14" s="226" t="s">
        <v>49</v>
      </c>
      <c r="I14" s="226"/>
      <c r="J14" s="226"/>
      <c r="K14" s="226"/>
      <c r="L14" s="226"/>
      <c r="M14" s="226"/>
      <c r="N14" s="226"/>
      <c r="O14" s="29"/>
      <c r="P14" s="223"/>
      <c r="Q14" s="224"/>
      <c r="R14" s="225"/>
    </row>
    <row r="15" spans="5:20" ht="13.8" x14ac:dyDescent="0.25">
      <c r="E15" s="221" t="s">
        <v>29</v>
      </c>
      <c r="F15" s="221"/>
      <c r="G15" s="221"/>
      <c r="H15" s="237" t="s">
        <v>66</v>
      </c>
      <c r="I15" s="237"/>
      <c r="J15" s="237"/>
      <c r="K15" s="237"/>
      <c r="L15" s="237"/>
      <c r="M15" s="237"/>
      <c r="N15" s="237"/>
      <c r="O15" s="29"/>
      <c r="P15" s="238"/>
      <c r="Q15" s="238"/>
      <c r="R15" s="238"/>
      <c r="T15" s="131"/>
    </row>
    <row r="16" spans="5:20" ht="13.8" x14ac:dyDescent="0.25">
      <c r="E16" s="233" t="s">
        <v>64</v>
      </c>
      <c r="F16" s="233"/>
      <c r="G16" s="7"/>
      <c r="H16" s="237" t="s">
        <v>63</v>
      </c>
      <c r="I16" s="237"/>
      <c r="J16" s="237"/>
      <c r="K16" s="237"/>
      <c r="L16" s="237"/>
      <c r="M16" s="237"/>
      <c r="N16" s="237"/>
      <c r="O16" s="29" t="s">
        <v>40</v>
      </c>
      <c r="P16" s="238"/>
      <c r="Q16" s="238"/>
      <c r="R16" s="238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9" t="s">
        <v>22</v>
      </c>
      <c r="N17" s="239"/>
      <c r="O17" s="240"/>
      <c r="P17" s="223"/>
      <c r="Q17" s="224"/>
      <c r="R17" s="225"/>
    </row>
    <row r="18" spans="5:18" ht="15" customHeight="1" x14ac:dyDescent="0.25">
      <c r="E18" s="241" t="s">
        <v>80</v>
      </c>
      <c r="F18" s="242"/>
      <c r="G18" s="242"/>
      <c r="H18" s="242"/>
      <c r="I18" s="242"/>
      <c r="J18" s="243"/>
      <c r="K18" s="242"/>
      <c r="L18" s="242"/>
      <c r="M18" s="29"/>
      <c r="N18" s="116" t="s">
        <v>31</v>
      </c>
      <c r="O18" s="33" t="s">
        <v>103</v>
      </c>
      <c r="P18" s="244" t="s">
        <v>14</v>
      </c>
      <c r="Q18" s="245"/>
      <c r="R18" s="246"/>
    </row>
    <row r="19" spans="5:18" ht="13.8" x14ac:dyDescent="0.25">
      <c r="E19" s="247" t="s">
        <v>76</v>
      </c>
      <c r="F19" s="242"/>
      <c r="G19" s="242"/>
      <c r="H19" s="242"/>
      <c r="I19" s="242"/>
      <c r="J19" s="243"/>
      <c r="K19" s="242"/>
      <c r="L19" s="242"/>
      <c r="M19" s="239"/>
      <c r="N19" s="240"/>
      <c r="O19" s="34" t="s">
        <v>101</v>
      </c>
      <c r="P19" s="248" t="s">
        <v>10</v>
      </c>
      <c r="Q19" s="249"/>
      <c r="R19" s="250"/>
    </row>
    <row r="20" spans="5:18" ht="13.8" x14ac:dyDescent="0.25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18"/>
      <c r="Q20" s="219"/>
      <c r="R20" s="220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51"/>
      <c r="Q21" s="252"/>
      <c r="R21" s="253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8" t="s">
        <v>77</v>
      </c>
      <c r="Q22" s="219"/>
      <c r="R22" s="220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56" t="s">
        <v>60</v>
      </c>
      <c r="K47" s="257"/>
      <c r="L47" s="257"/>
      <c r="M47" s="258"/>
      <c r="N47" s="262" t="s">
        <v>30</v>
      </c>
      <c r="O47" s="254" t="s">
        <v>67</v>
      </c>
      <c r="P47" s="255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9"/>
      <c r="K48" s="260"/>
      <c r="L48" s="260"/>
      <c r="M48" s="261"/>
      <c r="N48" s="263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64" t="s">
        <v>3</v>
      </c>
      <c r="K49" s="265"/>
      <c r="L49" s="265"/>
      <c r="M49" s="266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7" t="s">
        <v>19</v>
      </c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</row>
    <row r="52" spans="5:22" ht="14.25" customHeight="1" x14ac:dyDescent="0.25">
      <c r="E52" s="267" t="s">
        <v>61</v>
      </c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</row>
    <row r="53" spans="5:22" ht="13.5" customHeight="1" x14ac:dyDescent="0.25">
      <c r="E53" s="268"/>
      <c r="F53" s="268"/>
      <c r="G53" s="268"/>
      <c r="H53" s="268"/>
      <c r="I53" s="268"/>
      <c r="J53" s="268"/>
      <c r="K53" s="268"/>
      <c r="L53" s="268"/>
      <c r="M53" s="268"/>
      <c r="N53" s="268"/>
      <c r="O53" s="268"/>
      <c r="P53" s="268"/>
      <c r="Q53" s="268"/>
      <c r="R53" s="268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9" t="s">
        <v>59</v>
      </c>
      <c r="F55" s="269"/>
      <c r="G55" s="270" t="s">
        <v>98</v>
      </c>
      <c r="H55" s="271" t="s">
        <v>56</v>
      </c>
      <c r="I55" s="272" t="s">
        <v>68</v>
      </c>
      <c r="J55" s="270" t="s">
        <v>33</v>
      </c>
      <c r="K55" s="270" t="s">
        <v>47</v>
      </c>
      <c r="L55" s="274" t="s">
        <v>97</v>
      </c>
      <c r="M55" s="270" t="s">
        <v>69</v>
      </c>
      <c r="N55" s="275" t="s">
        <v>84</v>
      </c>
      <c r="O55" s="270" t="s">
        <v>73</v>
      </c>
      <c r="P55" s="276" t="s">
        <v>48</v>
      </c>
      <c r="Q55" s="275" t="s">
        <v>83</v>
      </c>
      <c r="R55" s="274" t="s">
        <v>35</v>
      </c>
    </row>
    <row r="56" spans="5:22" ht="41.4" x14ac:dyDescent="0.25">
      <c r="E56" s="46" t="s">
        <v>109</v>
      </c>
      <c r="F56" s="10" t="s">
        <v>107</v>
      </c>
      <c r="G56" s="270"/>
      <c r="H56" s="271"/>
      <c r="I56" s="273"/>
      <c r="J56" s="270"/>
      <c r="K56" s="270"/>
      <c r="L56" s="274"/>
      <c r="M56" s="270"/>
      <c r="N56" s="275"/>
      <c r="O56" s="270"/>
      <c r="P56" s="277"/>
      <c r="Q56" s="275"/>
      <c r="R56" s="274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8" t="s">
        <v>75</v>
      </c>
      <c r="F59" s="279"/>
      <c r="G59" s="280"/>
      <c r="H59" s="281"/>
      <c r="I59" s="281"/>
      <c r="J59" s="282"/>
      <c r="K59" s="283"/>
      <c r="L59" s="284"/>
      <c r="M59" s="283"/>
      <c r="N59" s="285"/>
      <c r="O59" s="283"/>
      <c r="P59" s="283"/>
      <c r="Q59" s="286"/>
      <c r="R59" s="287"/>
    </row>
    <row r="62" spans="5:22" ht="13.8" x14ac:dyDescent="0.25">
      <c r="E62" s="278" t="s">
        <v>74</v>
      </c>
      <c r="F62" s="279"/>
      <c r="G62" s="280"/>
      <c r="H62" s="281"/>
      <c r="I62" s="281"/>
      <c r="J62" s="282"/>
      <c r="K62" s="283"/>
      <c r="L62" s="284"/>
      <c r="M62" s="283"/>
      <c r="N62" s="285"/>
      <c r="O62" s="283"/>
      <c r="P62" s="283"/>
      <c r="Q62" s="286"/>
      <c r="R62" s="287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9" t="s">
        <v>110</v>
      </c>
      <c r="F104" s="289"/>
      <c r="G104" s="289"/>
      <c r="H104" s="82" t="s">
        <v>111</v>
      </c>
      <c r="I104" s="83"/>
      <c r="J104" s="83"/>
      <c r="K104" s="5"/>
      <c r="L104" s="289" t="s">
        <v>122</v>
      </c>
      <c r="M104" s="289"/>
      <c r="N104" s="289"/>
      <c r="O104" s="95"/>
      <c r="P104" s="292" t="s">
        <v>123</v>
      </c>
      <c r="Q104" s="292" t="s">
        <v>112</v>
      </c>
      <c r="R104" s="292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90" t="s">
        <v>52</v>
      </c>
      <c r="M105" s="290"/>
      <c r="N105" s="290" t="s">
        <v>114</v>
      </c>
      <c r="O105" s="290"/>
      <c r="P105" s="293" t="s">
        <v>115</v>
      </c>
      <c r="Q105" s="293"/>
      <c r="R105" s="293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11" t="s">
        <v>124</v>
      </c>
      <c r="M106" s="211"/>
      <c r="N106" s="211"/>
      <c r="O106" s="211"/>
      <c r="P106" s="211"/>
      <c r="Q106" s="211"/>
      <c r="R106" s="211"/>
    </row>
    <row r="107" spans="5:18" x14ac:dyDescent="0.25">
      <c r="E107" s="212"/>
      <c r="F107" s="212"/>
      <c r="G107" s="212"/>
      <c r="H107" s="83"/>
      <c r="I107" s="89"/>
      <c r="J107" s="89"/>
      <c r="K107" s="5"/>
      <c r="L107" s="291" t="s">
        <v>24</v>
      </c>
      <c r="M107" s="291"/>
      <c r="N107" s="291"/>
      <c r="O107" s="89"/>
      <c r="P107" s="89"/>
      <c r="Q107" s="89"/>
      <c r="R107" s="89"/>
    </row>
    <row r="108" spans="5:18" x14ac:dyDescent="0.25">
      <c r="E108" s="288"/>
      <c r="F108" s="288"/>
      <c r="G108" s="288"/>
      <c r="H108" s="89"/>
      <c r="I108" s="89"/>
      <c r="J108" s="89"/>
      <c r="K108" s="5"/>
      <c r="L108" s="214" t="s">
        <v>117</v>
      </c>
      <c r="M108" s="214"/>
      <c r="N108" s="91"/>
      <c r="O108" s="91"/>
      <c r="P108" s="92"/>
      <c r="Q108" s="215" t="s">
        <v>118</v>
      </c>
      <c r="R108" s="215"/>
    </row>
    <row r="109" spans="5:18" x14ac:dyDescent="0.25">
      <c r="E109" s="213"/>
      <c r="F109" s="213"/>
      <c r="G109" s="213"/>
      <c r="H109" s="90"/>
      <c r="I109" s="89"/>
      <c r="J109" s="89"/>
      <c r="K109" s="5"/>
      <c r="L109" s="216" t="s">
        <v>114</v>
      </c>
      <c r="M109" s="216"/>
      <c r="N109" s="216"/>
      <c r="O109" s="216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17" t="s">
        <v>119</v>
      </c>
      <c r="R111" s="217"/>
    </row>
    <row r="112" spans="5:18" x14ac:dyDescent="0.25">
      <c r="E112" s="89"/>
      <c r="F112" s="89"/>
      <c r="G112" s="89"/>
      <c r="H112" s="89"/>
      <c r="I112" s="89"/>
      <c r="J112" s="89"/>
      <c r="K112" s="5"/>
      <c r="L112" s="210" t="s">
        <v>114</v>
      </c>
      <c r="M112" s="210"/>
      <c r="N112" s="210"/>
      <c r="O112" s="210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8" t="s">
        <v>120</v>
      </c>
      <c r="M113" s="208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9"/>
      <c r="M114" s="209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10" t="s">
        <v>114</v>
      </c>
      <c r="M115" s="210"/>
      <c r="N115" s="210"/>
      <c r="O115" s="210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ColWidth="8.88671875"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ColWidth="8.88671875"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4" max="4" width="8.77734375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topLeftCell="A4" workbookViewId="0">
      <selection activeCell="C13" sqref="C13"/>
    </sheetView>
  </sheetViews>
  <sheetFormatPr defaultColWidth="8.88671875"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01" t="s">
        <v>190</v>
      </c>
      <c r="B12" s="170" t="s">
        <v>155</v>
      </c>
      <c r="C12" s="171">
        <v>1188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4"/>
  <sheetViews>
    <sheetView topLeftCell="A4" workbookViewId="0">
      <selection activeCell="B24" sqref="B24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3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  <row r="23" spans="1:2" x14ac:dyDescent="0.3">
      <c r="A23">
        <f>176+153+638+88+115+20</f>
        <v>1190</v>
      </c>
      <c r="B23" s="195">
        <f t="shared" si="1"/>
        <v>54.090909090909093</v>
      </c>
    </row>
    <row r="24" spans="1:2" x14ac:dyDescent="0.3">
      <c r="A24">
        <f>176+153+636+20+88+115</f>
        <v>1188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8" t="s">
        <v>46</v>
      </c>
      <c r="Q6" s="219"/>
      <c r="R6" s="220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8" t="s">
        <v>4</v>
      </c>
      <c r="Q7" s="219"/>
      <c r="R7" s="220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8"/>
      <c r="Q8" s="219"/>
      <c r="R8" s="220"/>
    </row>
    <row r="9" spans="5:20" ht="15" customHeight="1" x14ac:dyDescent="0.25">
      <c r="E9" s="221" t="s">
        <v>36</v>
      </c>
      <c r="F9" s="221"/>
      <c r="G9" s="221"/>
      <c r="H9" s="222" t="s">
        <v>20</v>
      </c>
      <c r="I9" s="222"/>
      <c r="J9" s="222"/>
      <c r="K9" s="222"/>
      <c r="L9" s="222"/>
      <c r="M9" s="222"/>
      <c r="N9" s="222"/>
      <c r="O9" s="162" t="s">
        <v>106</v>
      </c>
      <c r="P9" s="223" t="s">
        <v>6</v>
      </c>
      <c r="Q9" s="224"/>
      <c r="R9" s="225"/>
    </row>
    <row r="10" spans="5:20" ht="24.9" customHeight="1" x14ac:dyDescent="0.25">
      <c r="E10" s="221" t="s">
        <v>37</v>
      </c>
      <c r="F10" s="221"/>
      <c r="G10" s="221"/>
      <c r="H10" s="226" t="s">
        <v>95</v>
      </c>
      <c r="I10" s="226"/>
      <c r="J10" s="226"/>
      <c r="K10" s="226"/>
      <c r="L10" s="226"/>
      <c r="M10" s="226"/>
      <c r="N10" s="226"/>
      <c r="O10" s="162" t="s">
        <v>106</v>
      </c>
      <c r="P10" s="227" t="s">
        <v>18</v>
      </c>
      <c r="Q10" s="228"/>
      <c r="R10" s="229"/>
    </row>
    <row r="11" spans="5:20" ht="24.9" customHeight="1" x14ac:dyDescent="0.25">
      <c r="E11" s="221" t="s">
        <v>28</v>
      </c>
      <c r="F11" s="221"/>
      <c r="G11" s="221"/>
      <c r="H11" s="230" t="s">
        <v>21</v>
      </c>
      <c r="I11" s="230"/>
      <c r="J11" s="230"/>
      <c r="K11" s="230"/>
      <c r="L11" s="230"/>
      <c r="M11" s="230"/>
      <c r="N11" s="230"/>
      <c r="O11" s="162" t="s">
        <v>106</v>
      </c>
      <c r="P11" s="223" t="s">
        <v>15</v>
      </c>
      <c r="Q11" s="224"/>
      <c r="R11" s="225"/>
    </row>
    <row r="12" spans="5:20" ht="24.9" customHeight="1" x14ac:dyDescent="0.25">
      <c r="E12" s="231" t="s">
        <v>89</v>
      </c>
      <c r="F12" s="231"/>
      <c r="G12" s="231"/>
      <c r="H12" s="230" t="s">
        <v>62</v>
      </c>
      <c r="I12" s="230"/>
      <c r="J12" s="230"/>
      <c r="K12" s="230"/>
      <c r="L12" s="230"/>
      <c r="M12" s="230"/>
      <c r="N12" s="230"/>
      <c r="O12" s="162" t="s">
        <v>106</v>
      </c>
      <c r="P12" s="232" t="s">
        <v>17</v>
      </c>
      <c r="Q12" s="232"/>
      <c r="R12" s="232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34" t="s">
        <v>127</v>
      </c>
      <c r="Q13" s="235"/>
      <c r="R13" s="236"/>
    </row>
    <row r="14" spans="5:20" ht="13.8" x14ac:dyDescent="0.25">
      <c r="E14" s="294" t="s">
        <v>88</v>
      </c>
      <c r="F14" s="294"/>
      <c r="G14" s="7"/>
      <c r="H14" s="226" t="s">
        <v>49</v>
      </c>
      <c r="I14" s="226"/>
      <c r="J14" s="226"/>
      <c r="K14" s="226"/>
      <c r="L14" s="226"/>
      <c r="M14" s="226"/>
      <c r="N14" s="226"/>
      <c r="O14" s="162"/>
      <c r="P14" s="223"/>
      <c r="Q14" s="224"/>
      <c r="R14" s="225"/>
    </row>
    <row r="15" spans="5:20" ht="13.8" x14ac:dyDescent="0.25">
      <c r="E15" s="221" t="s">
        <v>29</v>
      </c>
      <c r="F15" s="221"/>
      <c r="G15" s="221"/>
      <c r="H15" s="237" t="s">
        <v>66</v>
      </c>
      <c r="I15" s="237"/>
      <c r="J15" s="237"/>
      <c r="K15" s="237"/>
      <c r="L15" s="237"/>
      <c r="M15" s="237"/>
      <c r="N15" s="237"/>
      <c r="O15" s="162"/>
      <c r="P15" s="238"/>
      <c r="Q15" s="238"/>
      <c r="R15" s="238"/>
      <c r="T15" s="131"/>
    </row>
    <row r="16" spans="5:20" ht="13.8" x14ac:dyDescent="0.25">
      <c r="E16" s="294" t="s">
        <v>64</v>
      </c>
      <c r="F16" s="294"/>
      <c r="G16" s="7"/>
      <c r="H16" s="237" t="s">
        <v>63</v>
      </c>
      <c r="I16" s="237"/>
      <c r="J16" s="237"/>
      <c r="K16" s="237"/>
      <c r="L16" s="237"/>
      <c r="M16" s="237"/>
      <c r="N16" s="237"/>
      <c r="O16" s="162" t="s">
        <v>40</v>
      </c>
      <c r="P16" s="238"/>
      <c r="Q16" s="238"/>
      <c r="R16" s="238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9" t="s">
        <v>22</v>
      </c>
      <c r="N17" s="239"/>
      <c r="O17" s="240"/>
      <c r="P17" s="223"/>
      <c r="Q17" s="224"/>
      <c r="R17" s="225"/>
    </row>
    <row r="18" spans="5:18" ht="15" customHeight="1" x14ac:dyDescent="0.25">
      <c r="E18" s="241" t="s">
        <v>80</v>
      </c>
      <c r="F18" s="242"/>
      <c r="G18" s="242"/>
      <c r="H18" s="242"/>
      <c r="I18" s="242"/>
      <c r="J18" s="243"/>
      <c r="K18" s="242"/>
      <c r="L18" s="242"/>
      <c r="M18" s="162"/>
      <c r="N18" s="124" t="s">
        <v>31</v>
      </c>
      <c r="O18" s="33" t="s">
        <v>103</v>
      </c>
      <c r="P18" s="244" t="s">
        <v>14</v>
      </c>
      <c r="Q18" s="245"/>
      <c r="R18" s="246"/>
    </row>
    <row r="19" spans="5:18" ht="13.8" x14ac:dyDescent="0.25">
      <c r="E19" s="247" t="s">
        <v>76</v>
      </c>
      <c r="F19" s="242"/>
      <c r="G19" s="242"/>
      <c r="H19" s="242"/>
      <c r="I19" s="242"/>
      <c r="J19" s="243"/>
      <c r="K19" s="242"/>
      <c r="L19" s="242"/>
      <c r="M19" s="239"/>
      <c r="N19" s="240"/>
      <c r="O19" s="34" t="s">
        <v>101</v>
      </c>
      <c r="P19" s="248" t="s">
        <v>10</v>
      </c>
      <c r="Q19" s="249"/>
      <c r="R19" s="250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8"/>
      <c r="Q20" s="219"/>
      <c r="R20" s="220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51"/>
      <c r="Q21" s="252"/>
      <c r="R21" s="253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8" t="s">
        <v>77</v>
      </c>
      <c r="Q22" s="219"/>
      <c r="R22" s="220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95" t="s">
        <v>60</v>
      </c>
      <c r="K47" s="296"/>
      <c r="L47" s="296"/>
      <c r="M47" s="297"/>
      <c r="N47" s="262" t="s">
        <v>30</v>
      </c>
      <c r="O47" s="254" t="s">
        <v>67</v>
      </c>
      <c r="P47" s="255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8"/>
      <c r="K48" s="299"/>
      <c r="L48" s="299"/>
      <c r="M48" s="300"/>
      <c r="N48" s="263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64" t="s">
        <v>3</v>
      </c>
      <c r="K49" s="265"/>
      <c r="L49" s="265"/>
      <c r="M49" s="266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7" t="s">
        <v>19</v>
      </c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</row>
    <row r="52" spans="5:22" ht="14.25" customHeight="1" x14ac:dyDescent="0.25">
      <c r="E52" s="267" t="s">
        <v>61</v>
      </c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</row>
    <row r="53" spans="5:22" ht="13.5" customHeight="1" x14ac:dyDescent="0.25">
      <c r="E53" s="268"/>
      <c r="F53" s="268"/>
      <c r="G53" s="268"/>
      <c r="H53" s="268"/>
      <c r="I53" s="268"/>
      <c r="J53" s="268"/>
      <c r="K53" s="268"/>
      <c r="L53" s="268"/>
      <c r="M53" s="268"/>
      <c r="N53" s="268"/>
      <c r="O53" s="268"/>
      <c r="P53" s="268"/>
      <c r="Q53" s="268"/>
      <c r="R53" s="268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9" t="s">
        <v>59</v>
      </c>
      <c r="F55" s="269"/>
      <c r="G55" s="270" t="s">
        <v>98</v>
      </c>
      <c r="H55" s="301" t="s">
        <v>56</v>
      </c>
      <c r="I55" s="272" t="s">
        <v>68</v>
      </c>
      <c r="J55" s="270" t="s">
        <v>33</v>
      </c>
      <c r="K55" s="270" t="s">
        <v>47</v>
      </c>
      <c r="L55" s="274" t="s">
        <v>97</v>
      </c>
      <c r="M55" s="270" t="s">
        <v>69</v>
      </c>
      <c r="N55" s="275" t="s">
        <v>84</v>
      </c>
      <c r="O55" s="270" t="s">
        <v>73</v>
      </c>
      <c r="P55" s="276" t="s">
        <v>48</v>
      </c>
      <c r="Q55" s="275" t="s">
        <v>83</v>
      </c>
      <c r="R55" s="274" t="s">
        <v>35</v>
      </c>
    </row>
    <row r="56" spans="5:22" ht="41.4" x14ac:dyDescent="0.25">
      <c r="E56" s="161" t="s">
        <v>109</v>
      </c>
      <c r="F56" s="10" t="s">
        <v>107</v>
      </c>
      <c r="G56" s="270"/>
      <c r="H56" s="301"/>
      <c r="I56" s="273"/>
      <c r="J56" s="270"/>
      <c r="K56" s="270"/>
      <c r="L56" s="274"/>
      <c r="M56" s="270"/>
      <c r="N56" s="275"/>
      <c r="O56" s="270"/>
      <c r="P56" s="277"/>
      <c r="Q56" s="275"/>
      <c r="R56" s="274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8" t="s">
        <v>75</v>
      </c>
      <c r="F59" s="279"/>
      <c r="G59" s="280"/>
      <c r="H59" s="281"/>
      <c r="I59" s="281"/>
      <c r="J59" s="282"/>
      <c r="K59" s="283"/>
      <c r="L59" s="284"/>
      <c r="M59" s="283"/>
      <c r="N59" s="285"/>
      <c r="O59" s="283"/>
      <c r="P59" s="283"/>
      <c r="Q59" s="286"/>
      <c r="R59" s="287"/>
    </row>
    <row r="62" spans="5:22" ht="13.8" x14ac:dyDescent="0.25">
      <c r="E62" s="278" t="s">
        <v>74</v>
      </c>
      <c r="F62" s="279"/>
      <c r="G62" s="280"/>
      <c r="H62" s="281"/>
      <c r="I62" s="281"/>
      <c r="J62" s="282"/>
      <c r="K62" s="283"/>
      <c r="L62" s="284"/>
      <c r="M62" s="283"/>
      <c r="N62" s="285"/>
      <c r="O62" s="283"/>
      <c r="P62" s="283"/>
      <c r="Q62" s="286"/>
      <c r="R62" s="287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9" t="s">
        <v>110</v>
      </c>
      <c r="F100" s="289"/>
      <c r="G100" s="289"/>
      <c r="H100" s="166" t="s">
        <v>111</v>
      </c>
      <c r="I100" s="83"/>
      <c r="J100" s="83"/>
      <c r="K100" s="5"/>
      <c r="L100" s="289" t="s">
        <v>122</v>
      </c>
      <c r="M100" s="289"/>
      <c r="N100" s="289"/>
      <c r="O100" s="166"/>
      <c r="P100" s="292" t="s">
        <v>123</v>
      </c>
      <c r="Q100" s="292" t="s">
        <v>112</v>
      </c>
      <c r="R100" s="292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90" t="s">
        <v>52</v>
      </c>
      <c r="M101" s="290"/>
      <c r="N101" s="290" t="s">
        <v>114</v>
      </c>
      <c r="O101" s="290"/>
      <c r="P101" s="293" t="s">
        <v>115</v>
      </c>
      <c r="Q101" s="293"/>
      <c r="R101" s="293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11" t="s">
        <v>124</v>
      </c>
      <c r="M102" s="211"/>
      <c r="N102" s="211"/>
      <c r="O102" s="211"/>
      <c r="P102" s="211"/>
      <c r="Q102" s="211"/>
      <c r="R102" s="211"/>
    </row>
    <row r="103" spans="5:18" x14ac:dyDescent="0.25">
      <c r="E103" s="212"/>
      <c r="F103" s="212"/>
      <c r="G103" s="212"/>
      <c r="H103" s="83"/>
      <c r="I103" s="89"/>
      <c r="J103" s="89"/>
      <c r="K103" s="5"/>
      <c r="L103" s="291" t="s">
        <v>24</v>
      </c>
      <c r="M103" s="291"/>
      <c r="N103" s="291"/>
      <c r="O103" s="89"/>
      <c r="P103" s="89"/>
      <c r="Q103" s="89"/>
      <c r="R103" s="89"/>
    </row>
    <row r="104" spans="5:18" x14ac:dyDescent="0.25">
      <c r="E104" s="288"/>
      <c r="F104" s="288"/>
      <c r="G104" s="288"/>
      <c r="H104" s="89"/>
      <c r="I104" s="89"/>
      <c r="J104" s="89"/>
      <c r="K104" s="5"/>
      <c r="L104" s="214" t="s">
        <v>117</v>
      </c>
      <c r="M104" s="214"/>
      <c r="N104" s="91"/>
      <c r="O104" s="91"/>
      <c r="P104" s="92"/>
      <c r="Q104" s="215" t="s">
        <v>118</v>
      </c>
      <c r="R104" s="215"/>
    </row>
    <row r="105" spans="5:18" x14ac:dyDescent="0.25">
      <c r="E105" s="213"/>
      <c r="F105" s="213"/>
      <c r="G105" s="213"/>
      <c r="H105" s="90"/>
      <c r="I105" s="89"/>
      <c r="J105" s="89"/>
      <c r="K105" s="5"/>
      <c r="L105" s="216" t="s">
        <v>114</v>
      </c>
      <c r="M105" s="216"/>
      <c r="N105" s="216"/>
      <c r="O105" s="216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17" t="s">
        <v>119</v>
      </c>
      <c r="R107" s="217"/>
    </row>
    <row r="108" spans="5:18" x14ac:dyDescent="0.25">
      <c r="E108" s="89"/>
      <c r="F108" s="89"/>
      <c r="G108" s="89"/>
      <c r="H108" s="89"/>
      <c r="I108" s="89"/>
      <c r="J108" s="89"/>
      <c r="K108" s="5"/>
      <c r="L108" s="210" t="s">
        <v>114</v>
      </c>
      <c r="M108" s="210"/>
      <c r="N108" s="210"/>
      <c r="O108" s="210"/>
      <c r="P108" s="85" t="s">
        <v>115</v>
      </c>
      <c r="Q108" s="85"/>
      <c r="R108" s="85"/>
    </row>
    <row r="109" spans="5:18" x14ac:dyDescent="0.25">
      <c r="L109" s="208" t="s">
        <v>120</v>
      </c>
      <c r="M109" s="208"/>
      <c r="N109" s="96"/>
      <c r="P109" s="97"/>
      <c r="Q109" s="98"/>
      <c r="R109" s="99"/>
    </row>
    <row r="110" spans="5:18" x14ac:dyDescent="0.25">
      <c r="L110" s="209"/>
      <c r="M110" s="209"/>
      <c r="N110" s="96"/>
      <c r="P110" s="100"/>
      <c r="Q110" s="101"/>
      <c r="R110" s="102" t="s">
        <v>121</v>
      </c>
    </row>
    <row r="111" spans="5:18" x14ac:dyDescent="0.25">
      <c r="L111" s="210" t="s">
        <v>114</v>
      </c>
      <c r="M111" s="210"/>
      <c r="N111" s="210"/>
      <c r="O111" s="210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A61A-46C5-40DD-AE82-A3E7A55EA2E6}">
  <dimension ref="D1:H9"/>
  <sheetViews>
    <sheetView workbookViewId="0">
      <selection activeCell="G11" sqref="G11"/>
    </sheetView>
  </sheetViews>
  <sheetFormatPr defaultRowHeight="14.4" x14ac:dyDescent="0.3"/>
  <cols>
    <col min="1" max="3" width="8.88671875" style="202"/>
    <col min="4" max="4" width="16" style="206" customWidth="1"/>
    <col min="5" max="5" width="16.6640625" style="202" customWidth="1"/>
    <col min="6" max="6" width="29.5546875" style="205" customWidth="1"/>
    <col min="7" max="7" width="12.109375" style="205" customWidth="1"/>
    <col min="8" max="8" width="12.77734375" style="202" customWidth="1"/>
    <col min="9" max="16384" width="8.88671875" style="202"/>
  </cols>
  <sheetData>
    <row r="1" spans="4:8" ht="57.6" x14ac:dyDescent="0.3">
      <c r="F1" s="204" t="s">
        <v>186</v>
      </c>
    </row>
    <row r="3" spans="4:8" x14ac:dyDescent="0.3">
      <c r="E3" s="205" t="s">
        <v>189</v>
      </c>
      <c r="F3" s="205" t="s">
        <v>187</v>
      </c>
      <c r="G3" s="205" t="s">
        <v>182</v>
      </c>
    </row>
    <row r="4" spans="4:8" x14ac:dyDescent="0.3">
      <c r="D4" s="206" t="s">
        <v>183</v>
      </c>
      <c r="F4" s="205" t="s">
        <v>188</v>
      </c>
      <c r="G4" s="202"/>
    </row>
    <row r="5" spans="4:8" x14ac:dyDescent="0.3">
      <c r="D5" s="207" t="s">
        <v>185</v>
      </c>
      <c r="E5" s="204" t="s">
        <v>184</v>
      </c>
      <c r="F5" s="202"/>
    </row>
    <row r="6" spans="4:8" x14ac:dyDescent="0.3">
      <c r="E6" s="206" t="s">
        <v>178</v>
      </c>
    </row>
    <row r="8" spans="4:8" x14ac:dyDescent="0.3">
      <c r="F8" s="204"/>
    </row>
    <row r="9" spans="4:8" x14ac:dyDescent="0.3">
      <c r="D9" s="206" t="s">
        <v>183</v>
      </c>
      <c r="E9" s="204" t="s">
        <v>181</v>
      </c>
      <c r="H9" s="20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2C480-34CA-4EF6-9911-500D8979E68E}">
  <dimension ref="B3:D9"/>
  <sheetViews>
    <sheetView workbookViewId="0">
      <selection activeCell="D14" sqref="D14"/>
    </sheetView>
  </sheetViews>
  <sheetFormatPr defaultRowHeight="14.4" x14ac:dyDescent="0.3"/>
  <cols>
    <col min="2" max="2" width="45.77734375" customWidth="1"/>
    <col min="3" max="3" width="33.88671875" customWidth="1"/>
  </cols>
  <sheetData>
    <row r="3" spans="2:4" x14ac:dyDescent="0.3">
      <c r="B3" s="127"/>
      <c r="C3" s="127"/>
      <c r="D3" s="127" t="s">
        <v>176</v>
      </c>
    </row>
    <row r="4" spans="2:4" ht="43.2" x14ac:dyDescent="0.3">
      <c r="B4" s="150" t="s">
        <v>179</v>
      </c>
      <c r="C4" s="127" t="s">
        <v>178</v>
      </c>
      <c r="D4" s="127"/>
    </row>
    <row r="6" spans="2:4" ht="72" x14ac:dyDescent="0.3">
      <c r="B6" s="150" t="s">
        <v>177</v>
      </c>
      <c r="C6" s="127" t="s">
        <v>178</v>
      </c>
      <c r="D6" s="127"/>
    </row>
    <row r="8" spans="2:4" x14ac:dyDescent="0.3">
      <c r="B8" s="127"/>
      <c r="C8" s="127"/>
      <c r="D8" s="127"/>
    </row>
    <row r="9" spans="2:4" ht="43.2" x14ac:dyDescent="0.3">
      <c r="B9" s="150" t="s">
        <v>180</v>
      </c>
      <c r="C9" s="127"/>
      <c r="D9" s="1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10</vt:i4>
      </vt:variant>
    </vt:vector>
  </HeadingPairs>
  <TitlesOfParts>
    <vt:vector size="18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Лист2</vt:lpstr>
      <vt:lpstr>Лист3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2022-06-25T03:52:51Z</dcterms:modified>
</cp:coreProperties>
</file>