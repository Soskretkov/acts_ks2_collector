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etl\"/>
    </mc:Choice>
  </mc:AlternateContent>
  <xr:revisionPtr revIDLastSave="0" documentId="13_ncr:1_{D3C0CF9E-0E71-4845-9A33-A49EAA7EA8AE}" xr6:coauthVersionLast="37" xr6:coauthVersionMax="45" xr10:uidLastSave="{00000000-0000-0000-0000-000000000000}"/>
  <bookViews>
    <workbookView xWindow="-108" yWindow="-108" windowWidth="19416" windowHeight="10416" xr2:uid="{00000000-000D-0000-FFFF-FFFF00000000}"/>
  </bookViews>
  <sheets>
    <sheet name="Лист1" sheetId="1" r:id="rId1"/>
    <sheet name="табл истиности" sheetId="8" r:id="rId2"/>
    <sheet name="Виды ошибок" sheetId="6" r:id="rId3"/>
    <sheet name="Цели" sheetId="2" r:id="rId4"/>
    <sheet name="строк кода" sheetId="5" r:id="rId5"/>
    <sheet name="Лист1 (2)" sheetId="7" r:id="rId6"/>
    <sheet name="Лист2" sheetId="9" r:id="rId7"/>
    <sheet name="Лист3" sheetId="10" r:id="rId8"/>
  </sheets>
  <definedNames>
    <definedName name="_xlnm._FilterDatabase" localSheetId="1" hidden="1">'табл истиности'!$A$1:$G$17</definedName>
    <definedName name="END_ITOG" localSheetId="5">'Лист1 (2)'!$E$98:$E$98</definedName>
    <definedName name="END_ITOG">Лист1!$E$102:$E$102</definedName>
    <definedName name="END_LINE" localSheetId="5">'Лист1 (2)'!$E$79:$E$79</definedName>
    <definedName name="END_LINE">Лист1!$E$79:$E$79</definedName>
    <definedName name="END_PODPIS" localSheetId="5">'Лист1 (2)'!#REF!</definedName>
    <definedName name="END_PODPIS">Лист1!#REF!</definedName>
    <definedName name="NAME_34" localSheetId="5">'Лист1 (2)'!$G:$H</definedName>
    <definedName name="NAME_34">Лист1!$G:$H</definedName>
    <definedName name="NUMBER_LINE" localSheetId="5">'Лист1 (2)'!$57:$57</definedName>
    <definedName name="NUMBER_LINE">Лист1!$57:$57</definedName>
    <definedName name="START_PODPIS" localSheetId="5">'Лист1 (2)'!#REF!</definedName>
    <definedName name="START_PODPIS">Лист1!#REF!</definedName>
    <definedName name="_xlnm.Print_Titles" localSheetId="0">Лист1!$57:$57</definedName>
    <definedName name="_xlnm.Print_Titles" localSheetId="5">'Лист1 (2)'!$57:$57</definedName>
  </definedNames>
  <calcPr calcId="179021"/>
</workbook>
</file>

<file path=xl/calcChain.xml><?xml version="1.0" encoding="utf-8"?>
<calcChain xmlns="http://schemas.openxmlformats.org/spreadsheetml/2006/main">
  <c r="A24" i="5" l="1"/>
  <c r="B23" i="5" l="1"/>
  <c r="A23" i="5"/>
  <c r="A21" i="5" l="1"/>
  <c r="B21" i="5" s="1"/>
  <c r="A19" i="5" l="1"/>
  <c r="B19" i="5" s="1"/>
  <c r="A18" i="5" l="1"/>
  <c r="B18" i="5" s="1"/>
  <c r="A17" i="8" l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2" i="8"/>
  <c r="B7" i="5" l="1"/>
  <c r="B8" i="5"/>
  <c r="B9" i="5"/>
  <c r="B10" i="5"/>
  <c r="B12" i="5"/>
  <c r="A17" i="5"/>
  <c r="B17" i="5" s="1"/>
  <c r="A16" i="5" l="1"/>
  <c r="B16" i="5" s="1"/>
  <c r="A15" i="5" l="1"/>
  <c r="B15" i="5" s="1"/>
  <c r="A14" i="5" l="1"/>
  <c r="B14" i="5" s="1"/>
  <c r="A13" i="5" l="1"/>
  <c r="B13" i="5" s="1"/>
</calcChain>
</file>

<file path=xl/sharedStrings.xml><?xml version="1.0" encoding="utf-8"?>
<sst xmlns="http://schemas.openxmlformats.org/spreadsheetml/2006/main" count="372" uniqueCount="191">
  <si>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</si>
  <si>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</si>
  <si>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</si>
  <si>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</si>
  <si>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</si>
  <si>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</si>
  <si>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</si>
  <si>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</si>
  <si>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</si>
  <si>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</si>
  <si>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</si>
  <si>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</si>
  <si>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</si>
  <si>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</si>
  <si>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</si>
  <si>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</si>
  <si>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</si>
  <si>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</si>
  <si>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</si>
  <si>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</si>
  <si>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</si>
  <si>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</si>
  <si>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</si>
  <si>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</si>
  <si>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</si>
  <si>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</si>
  <si>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</si>
  <si>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</si>
  <si>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</si>
  <si>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</si>
  <si>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</si>
  <si>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</si>
  <si>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</si>
  <si>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</si>
  <si>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</si>
  <si>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</si>
  <si>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</si>
  <si>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</si>
  <si>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</si>
  <si>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</si>
  <si>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</si>
  <si>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</si>
  <si>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</si>
  <si>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</si>
  <si>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</si>
  <si>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</si>
  <si>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</si>
  <si>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</si>
  <si>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</si>
  <si>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</si>
  <si>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</si>
  <si>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</si>
  <si>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</si>
  <si>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</si>
  <si>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</si>
  <si>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</si>
  <si>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</si>
  <si>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</si>
  <si>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</si>
  <si>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</si>
  <si>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</si>
  <si>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</si>
  <si>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</si>
  <si>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</si>
  <si>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</si>
  <si>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</si>
  <si>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</si>
  <si>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</si>
  <si>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</si>
  <si>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</si>
  <si>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</si>
  <si>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</si>
  <si>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</si>
  <si>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</si>
  <si>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</si>
  <si>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</si>
  <si>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</si>
  <si>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</si>
  <si>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</si>
  <si>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</si>
  <si>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</si>
  <si>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</si>
  <si>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</si>
  <si>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</si>
  <si>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</si>
  <si>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</si>
  <si>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</si>
  <si>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</si>
  <si>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</si>
  <si>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</si>
  <si>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</si>
  <si>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</si>
  <si>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</si>
  <si>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</si>
  <si>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</si>
  <si>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</si>
  <si>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</si>
  <si>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</si>
  <si>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</si>
  <si>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</si>
  <si>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</si>
  <si>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</si>
  <si>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</si>
  <si>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</si>
  <si>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</si>
  <si>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</si>
  <si>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</si>
  <si>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</si>
  <si>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</si>
  <si>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</si>
  <si>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</si>
  <si>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</si>
  <si>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</si>
  <si>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</si>
  <si>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</si>
  <si>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</si>
  <si>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</si>
  <si>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</si>
  <si>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</si>
  <si>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</si>
  <si>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</si>
  <si>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</si>
  <si>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</si>
  <si>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</si>
  <si>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</si>
  <si>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</si>
  <si>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</si>
  <si>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</si>
  <si>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</si>
  <si>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</si>
  <si>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</si>
  <si>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</si>
  <si>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</si>
  <si>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</si>
  <si>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</si>
  <si>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</si>
  <si>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</si>
  <si>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</si>
  <si>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</si>
  <si>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</si>
  <si>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</si>
  <si>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</si>
  <si>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</si>
  <si>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</si>
  <si>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</si>
  <si>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</si>
  <si>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</si>
  <si>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</si>
  <si>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</si>
  <si>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</si>
  <si>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</si>
  <si>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чтения calamine типо .get_string(), .get_float()</t>
  </si>
  <si>
    <t>transform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</si>
  <si>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</si>
  <si>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</si>
  <si>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</si>
  <si>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</si>
  <si>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</si>
  <si>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</si>
  <si>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</si>
  <si>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</si>
  <si>
    <t>пустой</t>
  </si>
  <si>
    <t>12-14 июня</t>
  </si>
  <si>
    <t>пустой БЦ</t>
  </si>
  <si>
    <t>пустой ТЦ</t>
  </si>
  <si>
    <t>Sheet::new() возвращает ошибки в main</t>
  </si>
  <si>
    <t>main</t>
  </si>
  <si>
    <t>все четко и работает как надо</t>
  </si>
  <si>
    <t>"Отсуствует запрошенный лист"</t>
  </si>
  <si>
    <t>"Лист не содержит всех необходимых данных"</t>
  </si>
  <si>
    <t>Логики представления итогов. Этап второй: нестандартные итоги</t>
  </si>
  <si>
    <t>"Не удалось получить начало диапазона листа"</t>
  </si>
  <si>
    <t>"Нетипичное заглавие (шапка) КС-2"</t>
  </si>
  <si>
    <t>в part_1
remain</t>
  </si>
  <si>
    <t>в part_1
delete или move</t>
  </si>
  <si>
    <t>15-18 июля</t>
  </si>
  <si>
    <t>Итерация exclude</t>
  </si>
  <si>
    <t xml:space="preserve">Move::No
Имя: точное
    в списке
    требуется
</t>
  </si>
  <si>
    <t>выход</t>
  </si>
  <si>
    <t>Move::Yes
Имя: точное
    в списке</t>
  </si>
  <si>
    <t xml:space="preserve">Имя: частичное:
    в списке
</t>
  </si>
  <si>
    <t>Да</t>
  </si>
  <si>
    <t>Нет</t>
  </si>
  <si>
    <t>в списке</t>
  </si>
  <si>
    <t>Move::No</t>
  </si>
  <si>
    <t>требуется</t>
  </si>
  <si>
    <r>
      <t xml:space="preserve">Передано имя из акта,
ищем его в exclude
 </t>
    </r>
    <r>
      <rPr>
        <sz val="11"/>
        <color theme="4" tint="0.39997558519241921"/>
        <rFont val="Calibri"/>
        <family val="2"/>
        <charset val="204"/>
        <scheme val="minor"/>
      </rPr>
      <t>не в списке
    не требуется</t>
    </r>
  </si>
  <si>
    <t>Поиск точный?</t>
  </si>
  <si>
    <t>Есть совпадения?</t>
  </si>
  <si>
    <t>ДА</t>
  </si>
  <si>
    <t>19-24 июля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</si>
</sst>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  <font>
      <i/>
      <sz val="9"/>
      <color rgb="FF000000"/>
      <name val="Calibri"/>
      <family val="2"/>
      <charset val="204"/>
      <scheme val="minor"/>
    </font>
    <font>
      <sz val="11"/>
      <color theme="4" tint="0.39997558519241921"/>
      <name val="Calibri"/>
      <family val="2"/>
      <scheme val="minor"/>
    </font>
    <font>
      <sz val="11"/>
      <color theme="4" tint="0.3999755851924192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302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14" fillId="7" borderId="0" xfId="0" applyNumberFormat="1" applyFont="1" applyFill="1" applyBorder="1" applyAlignment="1" applyProtection="1">
      <alignment vertical="center"/>
    </xf>
    <xf numFmtId="0" fontId="18" fillId="0" borderId="0" xfId="0" applyFont="1" applyAlignment="1">
      <alignment horizontal="right" vertical="top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0" fillId="8" borderId="0" xfId="0" applyFill="1" applyAlignment="1">
      <alignment horizontal="center" vertical="top"/>
    </xf>
    <xf numFmtId="0" fontId="0" fillId="8" borderId="1" xfId="0" applyFill="1" applyBorder="1" applyAlignment="1">
      <alignment horizontal="center" vertical="top"/>
    </xf>
    <xf numFmtId="1" fontId="0" fillId="0" borderId="0" xfId="0" applyNumberFormat="1"/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8" borderId="10" xfId="0" applyFill="1" applyBorder="1" applyAlignment="1">
      <alignment horizontal="center" vertical="top" wrapText="1"/>
    </xf>
    <xf numFmtId="0" fontId="1" fillId="4" borderId="0" xfId="0" applyFont="1" applyFill="1" applyAlignment="1">
      <alignment horizontal="right" vertical="center"/>
    </xf>
    <xf numFmtId="0" fontId="0" fillId="9" borderId="1" xfId="0" applyFill="1" applyBorder="1" applyAlignment="1">
      <alignment vertical="top"/>
    </xf>
    <xf numFmtId="0" fontId="16" fillId="0" borderId="0" xfId="0" applyFont="1" applyAlignment="1">
      <alignment vertical="top"/>
    </xf>
    <xf numFmtId="0" fontId="16" fillId="0" borderId="0" xfId="0" applyFont="1" applyAlignment="1">
      <alignment vertical="top" wrapText="1"/>
    </xf>
    <xf numFmtId="0" fontId="16" fillId="0" borderId="0" xfId="0" applyFont="1" applyAlignment="1">
      <alignment horizontal="center" vertical="top" wrapText="1"/>
    </xf>
    <xf numFmtId="0" fontId="16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 wrapText="1"/>
    </xf>
    <xf numFmtId="4" fontId="2" fillId="0" borderId="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2" fillId="7" borderId="1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0" xfId="0" applyFont="1" applyFill="1" applyAlignment="1">
      <alignment horizontal="left" vertical="center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5"/>
  <sheetViews>
    <sheetView tabSelected="1" topLeftCell="A76" zoomScale="70" zoomScaleNormal="70" zoomScaleSheetLayoutView="100" workbookViewId="0">
      <selection activeCell="N86" sqref="N86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1" spans="5:20" x14ac:dyDescent="0.25">
      <c r="E1" s="134"/>
      <c r="F1" s="134"/>
      <c r="G1" s="135"/>
      <c r="H1" s="136"/>
      <c r="I1" s="136"/>
      <c r="J1" s="137"/>
      <c r="K1" s="138"/>
      <c r="L1" s="139"/>
      <c r="M1" s="138"/>
      <c r="N1" s="140"/>
      <c r="O1" s="138"/>
      <c r="P1" s="138"/>
      <c r="Q1" s="141"/>
      <c r="R1" s="142"/>
    </row>
    <row r="2" spans="5:20" x14ac:dyDescent="0.25">
      <c r="E2" s="134"/>
      <c r="F2" s="134"/>
      <c r="G2" s="135"/>
      <c r="H2" s="136"/>
      <c r="I2" s="136"/>
      <c r="J2" s="137"/>
      <c r="K2" s="138"/>
      <c r="L2" s="139"/>
      <c r="M2" s="138"/>
      <c r="N2" s="140"/>
      <c r="O2" s="138"/>
      <c r="P2" s="138"/>
      <c r="Q2" s="141"/>
      <c r="R2" s="142"/>
    </row>
    <row r="3" spans="5:20" x14ac:dyDescent="0.25">
      <c r="E3" s="134"/>
      <c r="F3" s="134"/>
      <c r="G3" s="135"/>
      <c r="H3" s="136"/>
      <c r="I3" s="136"/>
      <c r="J3" s="137"/>
      <c r="K3" s="138"/>
      <c r="L3" s="139"/>
      <c r="M3" s="138"/>
      <c r="N3" s="140"/>
      <c r="O3" s="138"/>
      <c r="P3" s="138"/>
      <c r="Q3" s="141"/>
      <c r="R3" s="142"/>
    </row>
    <row r="4" spans="5:20" x14ac:dyDescent="0.25">
      <c r="E4" s="134"/>
      <c r="F4" s="134"/>
      <c r="G4" s="135"/>
      <c r="H4" s="136"/>
      <c r="I4" s="136"/>
      <c r="J4" s="137"/>
      <c r="K4" s="138"/>
      <c r="L4" s="139"/>
      <c r="M4" s="138"/>
      <c r="N4" s="140"/>
      <c r="O4" s="138"/>
      <c r="P4" s="138"/>
      <c r="Q4" s="141"/>
      <c r="R4" s="142"/>
    </row>
    <row r="5" spans="5:20" x14ac:dyDescent="0.25">
      <c r="E5" s="134"/>
      <c r="F5" s="134"/>
      <c r="G5" s="135"/>
      <c r="H5" s="136"/>
      <c r="I5" s="136"/>
      <c r="J5" s="137"/>
      <c r="K5" s="138"/>
      <c r="L5" s="139"/>
      <c r="M5" s="138"/>
      <c r="N5" s="140"/>
      <c r="O5" s="138"/>
      <c r="P5" s="138"/>
      <c r="Q5" s="141"/>
      <c r="R5" s="142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238" t="s">
        <v>46</v>
      </c>
      <c r="Q6" s="239"/>
      <c r="R6" s="240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238" t="s">
        <v>4</v>
      </c>
      <c r="Q7" s="239"/>
      <c r="R7" s="240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238"/>
      <c r="Q8" s="239"/>
      <c r="R8" s="240"/>
    </row>
    <row r="9" spans="5:20" ht="15" customHeight="1" x14ac:dyDescent="0.25">
      <c r="E9" s="269" t="s">
        <v>36</v>
      </c>
      <c r="F9" s="269"/>
      <c r="G9" s="269"/>
      <c r="H9" s="283" t="s">
        <v>20</v>
      </c>
      <c r="I9" s="283"/>
      <c r="J9" s="283"/>
      <c r="K9" s="283"/>
      <c r="L9" s="283"/>
      <c r="M9" s="283"/>
      <c r="N9" s="283"/>
      <c r="O9" s="29" t="s">
        <v>106</v>
      </c>
      <c r="P9" s="256" t="s">
        <v>6</v>
      </c>
      <c r="Q9" s="257"/>
      <c r="R9" s="258"/>
    </row>
    <row r="10" spans="5:20" ht="24.9" customHeight="1" x14ac:dyDescent="0.25">
      <c r="E10" s="269" t="s">
        <v>37</v>
      </c>
      <c r="F10" s="269"/>
      <c r="G10" s="269"/>
      <c r="H10" s="276" t="s">
        <v>95</v>
      </c>
      <c r="I10" s="276"/>
      <c r="J10" s="276"/>
      <c r="K10" s="276"/>
      <c r="L10" s="276"/>
      <c r="M10" s="276"/>
      <c r="N10" s="276"/>
      <c r="O10" s="29" t="s">
        <v>106</v>
      </c>
      <c r="P10" s="280" t="s">
        <v>18</v>
      </c>
      <c r="Q10" s="281"/>
      <c r="R10" s="282"/>
    </row>
    <row r="11" spans="5:20" ht="24.9" customHeight="1" x14ac:dyDescent="0.25">
      <c r="E11" s="269" t="s">
        <v>28</v>
      </c>
      <c r="F11" s="269"/>
      <c r="G11" s="269"/>
      <c r="H11" s="274" t="s">
        <v>21</v>
      </c>
      <c r="I11" s="274"/>
      <c r="J11" s="274"/>
      <c r="K11" s="274"/>
      <c r="L11" s="274"/>
      <c r="M11" s="274"/>
      <c r="N11" s="274"/>
      <c r="O11" s="29" t="s">
        <v>106</v>
      </c>
      <c r="P11" s="256" t="s">
        <v>15</v>
      </c>
      <c r="Q11" s="257"/>
      <c r="R11" s="258"/>
    </row>
    <row r="12" spans="5:20" ht="24.9" customHeight="1" x14ac:dyDescent="0.25">
      <c r="E12" s="273" t="s">
        <v>89</v>
      </c>
      <c r="F12" s="273"/>
      <c r="G12" s="273"/>
      <c r="H12" s="274" t="s">
        <v>62</v>
      </c>
      <c r="I12" s="274"/>
      <c r="J12" s="274"/>
      <c r="K12" s="274"/>
      <c r="L12" s="274"/>
      <c r="M12" s="274"/>
      <c r="N12" s="274"/>
      <c r="O12" s="29" t="s">
        <v>106</v>
      </c>
      <c r="P12" s="275" t="s">
        <v>17</v>
      </c>
      <c r="Q12" s="275"/>
      <c r="R12" s="275"/>
    </row>
    <row r="13" spans="5:20" ht="24.9" customHeight="1" x14ac:dyDescent="0.25">
      <c r="E13" s="182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77" t="s">
        <v>127</v>
      </c>
      <c r="Q13" s="278"/>
      <c r="R13" s="279"/>
    </row>
    <row r="14" spans="5:20" ht="13.8" x14ac:dyDescent="0.25">
      <c r="E14" s="272" t="s">
        <v>88</v>
      </c>
      <c r="F14" s="272"/>
      <c r="G14" s="7"/>
      <c r="H14" s="276" t="s">
        <v>49</v>
      </c>
      <c r="I14" s="276"/>
      <c r="J14" s="276"/>
      <c r="K14" s="276"/>
      <c r="L14" s="276"/>
      <c r="M14" s="276"/>
      <c r="N14" s="276"/>
      <c r="O14" s="29"/>
      <c r="P14" s="256"/>
      <c r="Q14" s="257"/>
      <c r="R14" s="258"/>
    </row>
    <row r="15" spans="5:20" ht="13.8" x14ac:dyDescent="0.25">
      <c r="E15" s="269" t="s">
        <v>29</v>
      </c>
      <c r="F15" s="269"/>
      <c r="G15" s="269"/>
      <c r="H15" s="270" t="s">
        <v>66</v>
      </c>
      <c r="I15" s="270"/>
      <c r="J15" s="270"/>
      <c r="K15" s="270"/>
      <c r="L15" s="270"/>
      <c r="M15" s="270"/>
      <c r="N15" s="270"/>
      <c r="O15" s="29"/>
      <c r="P15" s="271"/>
      <c r="Q15" s="271"/>
      <c r="R15" s="271"/>
      <c r="T15" s="131"/>
    </row>
    <row r="16" spans="5:20" ht="13.8" x14ac:dyDescent="0.25">
      <c r="E16" s="272" t="s">
        <v>64</v>
      </c>
      <c r="F16" s="272"/>
      <c r="G16" s="7"/>
      <c r="H16" s="270" t="s">
        <v>63</v>
      </c>
      <c r="I16" s="270"/>
      <c r="J16" s="270"/>
      <c r="K16" s="270"/>
      <c r="L16" s="270"/>
      <c r="M16" s="270"/>
      <c r="N16" s="270"/>
      <c r="O16" s="29" t="s">
        <v>40</v>
      </c>
      <c r="P16" s="271"/>
      <c r="Q16" s="271"/>
      <c r="R16" s="271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54" t="s">
        <v>22</v>
      </c>
      <c r="N17" s="254"/>
      <c r="O17" s="255"/>
      <c r="P17" s="256"/>
      <c r="Q17" s="257"/>
      <c r="R17" s="258"/>
    </row>
    <row r="18" spans="5:18" ht="15" customHeight="1" x14ac:dyDescent="0.25">
      <c r="E18" s="259" t="s">
        <v>80</v>
      </c>
      <c r="F18" s="260"/>
      <c r="G18" s="260"/>
      <c r="H18" s="260"/>
      <c r="I18" s="260"/>
      <c r="J18" s="261"/>
      <c r="K18" s="260"/>
      <c r="L18" s="260"/>
      <c r="M18" s="29"/>
      <c r="N18" s="116" t="s">
        <v>31</v>
      </c>
      <c r="O18" s="33" t="s">
        <v>103</v>
      </c>
      <c r="P18" s="262" t="s">
        <v>14</v>
      </c>
      <c r="Q18" s="263"/>
      <c r="R18" s="264"/>
    </row>
    <row r="19" spans="5:18" ht="13.8" x14ac:dyDescent="0.25">
      <c r="E19" s="265" t="s">
        <v>76</v>
      </c>
      <c r="F19" s="260"/>
      <c r="G19" s="260"/>
      <c r="H19" s="260"/>
      <c r="I19" s="260"/>
      <c r="J19" s="261"/>
      <c r="K19" s="260"/>
      <c r="L19" s="260"/>
      <c r="M19" s="254"/>
      <c r="N19" s="255"/>
      <c r="O19" s="34" t="s">
        <v>101</v>
      </c>
      <c r="P19" s="266" t="s">
        <v>10</v>
      </c>
      <c r="Q19" s="267"/>
      <c r="R19" s="268"/>
    </row>
    <row r="20" spans="5:18" ht="13.8" x14ac:dyDescent="0.25">
      <c r="E20" s="37" t="s">
        <v>82</v>
      </c>
      <c r="F20" s="37"/>
      <c r="G20" s="37"/>
      <c r="H20" s="37"/>
      <c r="I20" s="104"/>
      <c r="J20" s="200" t="s">
        <v>0</v>
      </c>
      <c r="K20" s="37"/>
      <c r="L20" s="37"/>
      <c r="M20" s="29"/>
      <c r="N20" s="116" t="s">
        <v>32</v>
      </c>
      <c r="O20" s="33" t="s">
        <v>103</v>
      </c>
      <c r="P20" s="238"/>
      <c r="Q20" s="239"/>
      <c r="R20" s="240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129</v>
      </c>
      <c r="K21" s="37"/>
      <c r="L21" s="37"/>
      <c r="M21" s="35"/>
      <c r="N21" s="28"/>
      <c r="O21" s="34" t="s">
        <v>101</v>
      </c>
      <c r="P21" s="241"/>
      <c r="Q21" s="242"/>
      <c r="R21" s="243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38" t="s">
        <v>77</v>
      </c>
      <c r="Q22" s="239"/>
      <c r="R22" s="240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46" t="s">
        <v>60</v>
      </c>
      <c r="K47" s="247"/>
      <c r="L47" s="247"/>
      <c r="M47" s="248"/>
      <c r="N47" s="252" t="s">
        <v>30</v>
      </c>
      <c r="O47" s="244" t="s">
        <v>67</v>
      </c>
      <c r="P47" s="245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49"/>
      <c r="K48" s="250"/>
      <c r="L48" s="250"/>
      <c r="M48" s="251"/>
      <c r="N48" s="253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25" t="s">
        <v>3</v>
      </c>
      <c r="K49" s="226"/>
      <c r="L49" s="226"/>
      <c r="M49" s="227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28" t="s">
        <v>19</v>
      </c>
      <c r="F51" s="228"/>
      <c r="G51" s="228"/>
      <c r="H51" s="228"/>
      <c r="I51" s="228"/>
      <c r="J51" s="228"/>
      <c r="K51" s="228"/>
      <c r="L51" s="228"/>
      <c r="M51" s="228"/>
      <c r="N51" s="228"/>
      <c r="O51" s="228"/>
      <c r="P51" s="228"/>
      <c r="Q51" s="228"/>
      <c r="R51" s="228"/>
    </row>
    <row r="52" spans="5:22" ht="14.25" customHeight="1" x14ac:dyDescent="0.25">
      <c r="E52" s="228" t="s">
        <v>61</v>
      </c>
      <c r="F52" s="228"/>
      <c r="G52" s="228"/>
      <c r="H52" s="228"/>
      <c r="I52" s="228"/>
      <c r="J52" s="228"/>
      <c r="K52" s="228"/>
      <c r="L52" s="228"/>
      <c r="M52" s="228"/>
      <c r="N52" s="228"/>
      <c r="O52" s="228"/>
      <c r="P52" s="228"/>
      <c r="Q52" s="228"/>
      <c r="R52" s="228"/>
    </row>
    <row r="53" spans="5:22" ht="13.5" customHeight="1" x14ac:dyDescent="0.25">
      <c r="E53" s="229"/>
      <c r="F53" s="229"/>
      <c r="G53" s="229"/>
      <c r="H53" s="229"/>
      <c r="I53" s="229"/>
      <c r="J53" s="229"/>
      <c r="K53" s="229"/>
      <c r="L53" s="229"/>
      <c r="M53" s="229"/>
      <c r="N53" s="229"/>
      <c r="O53" s="229"/>
      <c r="P53" s="229"/>
      <c r="Q53" s="229"/>
      <c r="R53" s="229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30" t="s">
        <v>59</v>
      </c>
      <c r="F55" s="230"/>
      <c r="G55" s="231" t="s">
        <v>98</v>
      </c>
      <c r="H55" s="232" t="s">
        <v>56</v>
      </c>
      <c r="I55" s="233" t="s">
        <v>68</v>
      </c>
      <c r="J55" s="231" t="s">
        <v>33</v>
      </c>
      <c r="K55" s="231" t="s">
        <v>47</v>
      </c>
      <c r="L55" s="208" t="s">
        <v>97</v>
      </c>
      <c r="M55" s="231" t="s">
        <v>69</v>
      </c>
      <c r="N55" s="235" t="s">
        <v>84</v>
      </c>
      <c r="O55" s="231" t="s">
        <v>73</v>
      </c>
      <c r="P55" s="236" t="s">
        <v>48</v>
      </c>
      <c r="Q55" s="235" t="s">
        <v>83</v>
      </c>
      <c r="R55" s="208" t="s">
        <v>35</v>
      </c>
    </row>
    <row r="56" spans="5:22" ht="41.4" x14ac:dyDescent="0.25">
      <c r="E56" s="46" t="s">
        <v>109</v>
      </c>
      <c r="F56" s="10" t="s">
        <v>107</v>
      </c>
      <c r="G56" s="231"/>
      <c r="H56" s="232"/>
      <c r="I56" s="234"/>
      <c r="J56" s="231"/>
      <c r="K56" s="231"/>
      <c r="L56" s="208"/>
      <c r="M56" s="231"/>
      <c r="N56" s="235"/>
      <c r="O56" s="231"/>
      <c r="P56" s="237"/>
      <c r="Q56" s="235"/>
      <c r="R56" s="208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209" t="s">
        <v>75</v>
      </c>
      <c r="F59" s="210"/>
      <c r="G59" s="211"/>
      <c r="H59" s="212"/>
      <c r="I59" s="212"/>
      <c r="J59" s="213"/>
      <c r="K59" s="214"/>
      <c r="L59" s="215"/>
      <c r="M59" s="214"/>
      <c r="N59" s="216"/>
      <c r="O59" s="214"/>
      <c r="P59" s="214"/>
      <c r="Q59" s="217"/>
      <c r="R59" s="218"/>
    </row>
    <row r="62" spans="5:22" ht="13.8" x14ac:dyDescent="0.25">
      <c r="E62" s="209" t="s">
        <v>74</v>
      </c>
      <c r="F62" s="210"/>
      <c r="G62" s="211"/>
      <c r="H62" s="212"/>
      <c r="I62" s="212"/>
      <c r="J62" s="213"/>
      <c r="K62" s="214"/>
      <c r="L62" s="215"/>
      <c r="M62" s="214"/>
      <c r="N62" s="216"/>
      <c r="O62" s="214"/>
      <c r="P62" s="214"/>
      <c r="Q62" s="217"/>
      <c r="R62" s="218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8730215</v>
      </c>
    </row>
    <row r="84" spans="5:18" x14ac:dyDescent="0.25">
      <c r="E84" s="175"/>
      <c r="F84" s="175"/>
      <c r="G84" s="176" t="s">
        <v>163</v>
      </c>
      <c r="H84" s="56" t="s">
        <v>99</v>
      </c>
      <c r="I84" s="177"/>
      <c r="J84" s="178"/>
      <c r="K84" s="179"/>
      <c r="L84" s="180"/>
      <c r="M84" s="179"/>
      <c r="N84" s="54"/>
      <c r="O84" s="179"/>
      <c r="P84" s="179"/>
      <c r="Q84" s="54">
        <v>8730216</v>
      </c>
      <c r="R84" s="181"/>
    </row>
    <row r="85" spans="5:18" x14ac:dyDescent="0.25">
      <c r="E85" s="152"/>
      <c r="F85" s="152"/>
      <c r="G85" s="153" t="s">
        <v>164</v>
      </c>
      <c r="H85" s="56" t="s">
        <v>99</v>
      </c>
      <c r="I85" s="154"/>
      <c r="J85" s="155"/>
      <c r="K85" s="156"/>
      <c r="L85" s="157"/>
      <c r="M85" s="156"/>
      <c r="N85" s="54">
        <v>3221483</v>
      </c>
      <c r="O85" s="156"/>
      <c r="P85" s="156"/>
      <c r="Q85" s="54"/>
      <c r="R85" s="160"/>
    </row>
    <row r="86" spans="5:18" x14ac:dyDescent="0.25">
      <c r="E86" s="175"/>
      <c r="F86" s="175"/>
      <c r="G86" s="176" t="s">
        <v>161</v>
      </c>
      <c r="H86" s="56" t="s">
        <v>99</v>
      </c>
      <c r="I86" s="177"/>
      <c r="J86" s="178"/>
      <c r="K86" s="179"/>
      <c r="L86" s="180"/>
      <c r="M86" s="179"/>
      <c r="N86" s="54"/>
      <c r="O86" s="179"/>
      <c r="P86" s="179"/>
      <c r="Q86" s="54"/>
      <c r="R86" s="181"/>
    </row>
    <row r="87" spans="5:18" x14ac:dyDescent="0.25">
      <c r="E87" s="184"/>
      <c r="F87" s="184"/>
      <c r="G87" s="185"/>
      <c r="H87" s="56"/>
      <c r="I87" s="186"/>
      <c r="J87" s="187"/>
      <c r="K87" s="188"/>
      <c r="L87" s="189"/>
      <c r="M87" s="188"/>
      <c r="N87" s="54"/>
      <c r="O87" s="188"/>
      <c r="P87" s="188"/>
      <c r="Q87" s="54"/>
      <c r="R87" s="190"/>
    </row>
    <row r="88" spans="5:18" x14ac:dyDescent="0.25">
      <c r="G88" s="103"/>
      <c r="H88" s="56" t="s">
        <v>34</v>
      </c>
      <c r="N88" s="54">
        <v>56826</v>
      </c>
      <c r="Q88" s="54">
        <v>2003692</v>
      </c>
    </row>
    <row r="89" spans="5:18" x14ac:dyDescent="0.25">
      <c r="E89" s="143"/>
      <c r="F89" s="143"/>
      <c r="G89" s="144"/>
      <c r="H89" s="56" t="s">
        <v>65</v>
      </c>
      <c r="I89" s="145"/>
      <c r="J89" s="146"/>
      <c r="K89" s="147"/>
      <c r="L89" s="148"/>
      <c r="M89" s="147"/>
      <c r="N89" s="54">
        <v>337749</v>
      </c>
      <c r="O89" s="147"/>
      <c r="P89" s="147"/>
      <c r="Q89" s="54">
        <v>11909025</v>
      </c>
      <c r="R89" s="149"/>
    </row>
    <row r="90" spans="5:18" ht="13.8" x14ac:dyDescent="0.3">
      <c r="G90" s="103"/>
      <c r="H90" s="60" t="s">
        <v>92</v>
      </c>
      <c r="N90" s="60">
        <v>30873</v>
      </c>
      <c r="Q90" s="120">
        <v>30873</v>
      </c>
    </row>
    <row r="91" spans="5:18" ht="13.8" x14ac:dyDescent="0.3">
      <c r="G91" s="103"/>
      <c r="H91" s="57" t="s">
        <v>91</v>
      </c>
      <c r="N91" s="60">
        <v>4208</v>
      </c>
      <c r="Q91" s="120">
        <v>4208</v>
      </c>
    </row>
    <row r="92" spans="5:18" x14ac:dyDescent="0.25">
      <c r="G92" s="103"/>
      <c r="H92" s="56" t="s">
        <v>57</v>
      </c>
      <c r="N92" s="54">
        <v>414304</v>
      </c>
      <c r="Q92" s="54">
        <v>14608353</v>
      </c>
    </row>
    <row r="93" spans="5:18" x14ac:dyDescent="0.25">
      <c r="G93" s="103"/>
      <c r="H93" s="56" t="s">
        <v>81</v>
      </c>
      <c r="N93" s="54">
        <v>256474</v>
      </c>
      <c r="Q93" s="54">
        <v>6463140</v>
      </c>
    </row>
    <row r="94" spans="5:18" x14ac:dyDescent="0.25">
      <c r="G94" s="103"/>
      <c r="H94" s="57" t="s">
        <v>25</v>
      </c>
      <c r="N94" s="57">
        <v>5205211</v>
      </c>
      <c r="Q94" s="57">
        <v>47869713</v>
      </c>
    </row>
    <row r="95" spans="5:18" x14ac:dyDescent="0.25">
      <c r="G95" s="103"/>
      <c r="H95" s="57" t="s">
        <v>85</v>
      </c>
      <c r="N95" s="119"/>
      <c r="Q95" s="57">
        <v>3867389</v>
      </c>
    </row>
    <row r="96" spans="5:18" x14ac:dyDescent="0.25">
      <c r="G96" s="103"/>
      <c r="H96" s="56" t="s">
        <v>41</v>
      </c>
      <c r="N96" s="57">
        <v>5205211</v>
      </c>
      <c r="Q96" s="121">
        <v>44002324</v>
      </c>
    </row>
    <row r="97" spans="5:18" x14ac:dyDescent="0.25">
      <c r="G97" s="103"/>
      <c r="H97" s="118" t="s">
        <v>43</v>
      </c>
      <c r="Q97" s="105">
        <v>44002324</v>
      </c>
    </row>
    <row r="98" spans="5:18" x14ac:dyDescent="0.25">
      <c r="G98" s="103"/>
      <c r="H98" s="59" t="s">
        <v>71</v>
      </c>
      <c r="N98" s="59">
        <v>208208</v>
      </c>
      <c r="Q98" s="59">
        <v>1760093</v>
      </c>
    </row>
    <row r="99" spans="5:18" x14ac:dyDescent="0.25">
      <c r="G99" s="103"/>
      <c r="H99" s="57" t="s">
        <v>44</v>
      </c>
      <c r="N99" s="57">
        <v>5413419</v>
      </c>
      <c r="Q99" s="57">
        <v>45762417</v>
      </c>
    </row>
    <row r="100" spans="5:18" x14ac:dyDescent="0.25">
      <c r="G100" s="103"/>
      <c r="H100" s="57" t="s">
        <v>26</v>
      </c>
      <c r="N100" s="57">
        <v>5413419</v>
      </c>
      <c r="Q100" s="122"/>
    </row>
    <row r="101" spans="5:18" x14ac:dyDescent="0.25">
      <c r="G101" s="103"/>
      <c r="H101" s="57" t="s">
        <v>27</v>
      </c>
      <c r="N101" s="119"/>
      <c r="Q101" s="57">
        <v>45762417</v>
      </c>
    </row>
    <row r="103" spans="5:18" ht="12.75" customHeight="1" x14ac:dyDescent="0.25">
      <c r="E103" s="73" t="s">
        <v>79</v>
      </c>
      <c r="F103" s="74"/>
      <c r="G103" s="75"/>
      <c r="H103" s="76"/>
      <c r="I103" s="76"/>
      <c r="J103" s="77"/>
      <c r="K103" s="78"/>
      <c r="L103" s="73" t="s">
        <v>70</v>
      </c>
      <c r="M103" s="78"/>
      <c r="N103" s="79"/>
      <c r="O103" s="78"/>
      <c r="P103" s="78"/>
      <c r="Q103" s="80"/>
      <c r="R103" s="81"/>
    </row>
    <row r="104" spans="5:18" ht="27" customHeight="1" x14ac:dyDescent="0.25">
      <c r="E104" s="220" t="s">
        <v>110</v>
      </c>
      <c r="F104" s="220"/>
      <c r="G104" s="220"/>
      <c r="H104" s="82" t="s">
        <v>111</v>
      </c>
      <c r="I104" s="83"/>
      <c r="J104" s="83"/>
      <c r="K104" s="5"/>
      <c r="L104" s="220" t="s">
        <v>122</v>
      </c>
      <c r="M104" s="220"/>
      <c r="N104" s="220"/>
      <c r="O104" s="95"/>
      <c r="P104" s="223" t="s">
        <v>123</v>
      </c>
      <c r="Q104" s="223" t="s">
        <v>112</v>
      </c>
      <c r="R104" s="223"/>
    </row>
    <row r="105" spans="5:18" ht="12.75" customHeight="1" x14ac:dyDescent="0.25">
      <c r="E105" s="84" t="s">
        <v>52</v>
      </c>
      <c r="F105" s="84"/>
      <c r="G105" s="84" t="s">
        <v>113</v>
      </c>
      <c r="H105" s="85"/>
      <c r="I105" s="83"/>
      <c r="J105" s="83"/>
      <c r="K105" s="5"/>
      <c r="L105" s="221" t="s">
        <v>52</v>
      </c>
      <c r="M105" s="221"/>
      <c r="N105" s="221" t="s">
        <v>114</v>
      </c>
      <c r="O105" s="221"/>
      <c r="P105" s="224" t="s">
        <v>115</v>
      </c>
      <c r="Q105" s="224"/>
      <c r="R105" s="224"/>
    </row>
    <row r="106" spans="5:18" ht="19.5" customHeight="1" x14ac:dyDescent="0.25">
      <c r="E106" s="86" t="s">
        <v>116</v>
      </c>
      <c r="F106" s="85"/>
      <c r="G106" s="87"/>
      <c r="H106" s="87"/>
      <c r="I106" s="88"/>
      <c r="J106" s="89"/>
      <c r="K106" s="5"/>
      <c r="L106" s="287" t="s">
        <v>124</v>
      </c>
      <c r="M106" s="287"/>
      <c r="N106" s="287"/>
      <c r="O106" s="287"/>
      <c r="P106" s="287"/>
      <c r="Q106" s="287"/>
      <c r="R106" s="287"/>
    </row>
    <row r="107" spans="5:18" x14ac:dyDescent="0.25">
      <c r="E107" s="288"/>
      <c r="F107" s="288"/>
      <c r="G107" s="288"/>
      <c r="H107" s="83"/>
      <c r="I107" s="89"/>
      <c r="J107" s="89"/>
      <c r="K107" s="5"/>
      <c r="L107" s="222" t="s">
        <v>24</v>
      </c>
      <c r="M107" s="222"/>
      <c r="N107" s="222"/>
      <c r="O107" s="89"/>
      <c r="P107" s="89"/>
      <c r="Q107" s="89"/>
      <c r="R107" s="89"/>
    </row>
    <row r="108" spans="5:18" x14ac:dyDescent="0.25">
      <c r="E108" s="219"/>
      <c r="F108" s="219"/>
      <c r="G108" s="219"/>
      <c r="H108" s="89"/>
      <c r="I108" s="89"/>
      <c r="J108" s="89"/>
      <c r="K108" s="5"/>
      <c r="L108" s="290" t="s">
        <v>117</v>
      </c>
      <c r="M108" s="290"/>
      <c r="N108" s="91"/>
      <c r="O108" s="91"/>
      <c r="P108" s="92"/>
      <c r="Q108" s="291" t="s">
        <v>118</v>
      </c>
      <c r="R108" s="291"/>
    </row>
    <row r="109" spans="5:18" x14ac:dyDescent="0.25">
      <c r="E109" s="289"/>
      <c r="F109" s="289"/>
      <c r="G109" s="289"/>
      <c r="H109" s="90"/>
      <c r="I109" s="89"/>
      <c r="J109" s="89"/>
      <c r="K109" s="5"/>
      <c r="L109" s="292" t="s">
        <v>114</v>
      </c>
      <c r="M109" s="292"/>
      <c r="N109" s="292"/>
      <c r="O109" s="292"/>
      <c r="P109" s="85" t="s">
        <v>115</v>
      </c>
      <c r="Q109" s="85"/>
      <c r="R109" s="85"/>
    </row>
    <row r="110" spans="5:18" x14ac:dyDescent="0.25">
      <c r="E110" s="89"/>
      <c r="F110" s="89"/>
      <c r="G110" s="89"/>
      <c r="H110" s="89"/>
      <c r="I110" s="89"/>
      <c r="J110" s="89"/>
      <c r="K110" s="5"/>
      <c r="L110" s="89"/>
      <c r="M110" s="89"/>
      <c r="N110" s="89"/>
      <c r="O110" s="89"/>
      <c r="P110" s="89"/>
      <c r="Q110" s="89"/>
      <c r="R110" s="89"/>
    </row>
    <row r="111" spans="5:18" x14ac:dyDescent="0.25">
      <c r="E111" s="89"/>
      <c r="F111" s="89"/>
      <c r="G111" s="89"/>
      <c r="H111" s="89"/>
      <c r="I111" s="89"/>
      <c r="J111" s="89"/>
      <c r="K111" s="5"/>
      <c r="L111" s="93" t="s">
        <v>58</v>
      </c>
      <c r="M111" s="93"/>
      <c r="N111" s="93"/>
      <c r="O111" s="93"/>
      <c r="P111" s="94"/>
      <c r="Q111" s="293" t="s">
        <v>119</v>
      </c>
      <c r="R111" s="293"/>
    </row>
    <row r="112" spans="5:18" x14ac:dyDescent="0.25">
      <c r="E112" s="89"/>
      <c r="F112" s="89"/>
      <c r="G112" s="89"/>
      <c r="H112" s="89"/>
      <c r="I112" s="89"/>
      <c r="J112" s="89"/>
      <c r="K112" s="5"/>
      <c r="L112" s="286" t="s">
        <v>114</v>
      </c>
      <c r="M112" s="286"/>
      <c r="N112" s="286"/>
      <c r="O112" s="286"/>
      <c r="P112" s="85" t="s">
        <v>115</v>
      </c>
      <c r="Q112" s="85"/>
      <c r="R112" s="85"/>
    </row>
    <row r="113" spans="5:18" x14ac:dyDescent="0.25">
      <c r="E113" s="66"/>
      <c r="F113" s="66"/>
      <c r="G113" s="67"/>
      <c r="H113" s="68"/>
      <c r="I113" s="68"/>
      <c r="J113" s="69"/>
      <c r="K113" s="70"/>
      <c r="L113" s="284" t="s">
        <v>120</v>
      </c>
      <c r="M113" s="284"/>
      <c r="N113" s="96"/>
      <c r="O113" s="70"/>
      <c r="P113" s="97"/>
      <c r="Q113" s="98"/>
      <c r="R113" s="99"/>
    </row>
    <row r="114" spans="5:18" x14ac:dyDescent="0.25">
      <c r="E114" s="66"/>
      <c r="F114" s="66"/>
      <c r="G114" s="67"/>
      <c r="H114" s="68"/>
      <c r="I114" s="68"/>
      <c r="J114" s="69"/>
      <c r="K114" s="70"/>
      <c r="L114" s="285"/>
      <c r="M114" s="285"/>
      <c r="N114" s="96"/>
      <c r="O114" s="70"/>
      <c r="P114" s="100"/>
      <c r="Q114" s="101"/>
      <c r="R114" s="102" t="s">
        <v>121</v>
      </c>
    </row>
    <row r="115" spans="5:18" x14ac:dyDescent="0.25">
      <c r="E115" s="66"/>
      <c r="F115" s="66"/>
      <c r="G115" s="67"/>
      <c r="H115" s="68"/>
      <c r="I115" s="68"/>
      <c r="J115" s="69"/>
      <c r="K115" s="70"/>
      <c r="L115" s="286" t="s">
        <v>114</v>
      </c>
      <c r="M115" s="286"/>
      <c r="N115" s="286"/>
      <c r="O115" s="286"/>
      <c r="P115" s="85" t="s">
        <v>115</v>
      </c>
      <c r="Q115" s="71"/>
      <c r="R115" s="72"/>
    </row>
  </sheetData>
  <mergeCells count="74">
    <mergeCell ref="L113:M114"/>
    <mergeCell ref="L115:O115"/>
    <mergeCell ref="L106:R106"/>
    <mergeCell ref="E107:G107"/>
    <mergeCell ref="E109:G109"/>
    <mergeCell ref="L108:M108"/>
    <mergeCell ref="Q108:R108"/>
    <mergeCell ref="L109:O109"/>
    <mergeCell ref="Q111:R111"/>
    <mergeCell ref="L112:O112"/>
    <mergeCell ref="P6:R6"/>
    <mergeCell ref="P7:R7"/>
    <mergeCell ref="P8:R8"/>
    <mergeCell ref="E9:G9"/>
    <mergeCell ref="H9:N9"/>
    <mergeCell ref="P9:R9"/>
    <mergeCell ref="E10:G10"/>
    <mergeCell ref="H10:N10"/>
    <mergeCell ref="P10:R10"/>
    <mergeCell ref="E11:G11"/>
    <mergeCell ref="H11:N11"/>
    <mergeCell ref="P11:R11"/>
    <mergeCell ref="E12:G12"/>
    <mergeCell ref="H12:N12"/>
    <mergeCell ref="P12:R12"/>
    <mergeCell ref="E14:F14"/>
    <mergeCell ref="H14:N14"/>
    <mergeCell ref="P14:R14"/>
    <mergeCell ref="P13:R13"/>
    <mergeCell ref="E15:G15"/>
    <mergeCell ref="H15:N15"/>
    <mergeCell ref="P15:R15"/>
    <mergeCell ref="E16:F16"/>
    <mergeCell ref="H16:N16"/>
    <mergeCell ref="P16:R16"/>
    <mergeCell ref="M17:O17"/>
    <mergeCell ref="P17:R17"/>
    <mergeCell ref="E18:L18"/>
    <mergeCell ref="P18:R18"/>
    <mergeCell ref="E19:L19"/>
    <mergeCell ref="M19:N19"/>
    <mergeCell ref="P19:R19"/>
    <mergeCell ref="P20:R20"/>
    <mergeCell ref="P21:R21"/>
    <mergeCell ref="P22:R22"/>
    <mergeCell ref="O47:P47"/>
    <mergeCell ref="J47:M48"/>
    <mergeCell ref="N47:N48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R55:R56"/>
    <mergeCell ref="E59:R59"/>
    <mergeCell ref="E62:R62"/>
    <mergeCell ref="E108:G108"/>
    <mergeCell ref="L104:N104"/>
    <mergeCell ref="L105:O105"/>
    <mergeCell ref="L107:N107"/>
    <mergeCell ref="E104:G104"/>
    <mergeCell ref="P104:R104"/>
    <mergeCell ref="P105:R105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17DE3-7BE0-4826-A50A-AF494496043E}">
  <sheetPr filterMode="1"/>
  <dimension ref="A1:F18"/>
  <sheetViews>
    <sheetView workbookViewId="0">
      <selection activeCell="K3" sqref="K3"/>
    </sheetView>
  </sheetViews>
  <sheetFormatPr defaultColWidth="8.88671875" defaultRowHeight="14.4" x14ac:dyDescent="0.3"/>
  <cols>
    <col min="1" max="1" width="8.88671875" style="191"/>
    <col min="2" max="3" width="8.88671875" style="191" hidden="1" customWidth="1"/>
    <col min="4" max="4" width="10.88671875" style="192" customWidth="1"/>
    <col min="5" max="5" width="8.88671875" style="192"/>
    <col min="6" max="6" width="12.33203125" style="193" customWidth="1"/>
    <col min="7" max="16384" width="8.88671875" style="191"/>
  </cols>
  <sheetData>
    <row r="1" spans="1:6" s="192" customFormat="1" ht="45" customHeight="1" x14ac:dyDescent="0.3">
      <c r="B1" s="198"/>
      <c r="C1" s="198"/>
      <c r="D1" s="198" t="s">
        <v>174</v>
      </c>
      <c r="E1" s="198" t="s">
        <v>173</v>
      </c>
      <c r="F1" s="199"/>
    </row>
    <row r="2" spans="1:6" x14ac:dyDescent="0.3">
      <c r="A2" s="191">
        <f>ROW()-1</f>
        <v>1</v>
      </c>
      <c r="B2" s="196">
        <v>0</v>
      </c>
      <c r="C2" s="196">
        <v>0</v>
      </c>
      <c r="D2" s="196">
        <v>0</v>
      </c>
      <c r="E2" s="197">
        <v>0</v>
      </c>
      <c r="F2" s="194">
        <v>1</v>
      </c>
    </row>
    <row r="3" spans="1:6" x14ac:dyDescent="0.3">
      <c r="A3" s="191">
        <f t="shared" ref="A3:A17" si="0">ROW()-1</f>
        <v>2</v>
      </c>
      <c r="B3" s="196">
        <v>0</v>
      </c>
      <c r="C3" s="196">
        <v>0</v>
      </c>
      <c r="D3" s="196">
        <v>0</v>
      </c>
      <c r="E3" s="197">
        <v>1</v>
      </c>
      <c r="F3" s="194">
        <v>1</v>
      </c>
    </row>
    <row r="4" spans="1:6" x14ac:dyDescent="0.3">
      <c r="A4" s="191">
        <f t="shared" si="0"/>
        <v>3</v>
      </c>
      <c r="B4" s="196">
        <v>0</v>
      </c>
      <c r="C4" s="196">
        <v>0</v>
      </c>
      <c r="D4" s="196">
        <v>1</v>
      </c>
      <c r="E4" s="196">
        <v>0</v>
      </c>
      <c r="F4" s="194">
        <v>0</v>
      </c>
    </row>
    <row r="5" spans="1:6" x14ac:dyDescent="0.3">
      <c r="A5" s="191">
        <f t="shared" si="0"/>
        <v>4</v>
      </c>
      <c r="B5" s="196">
        <v>0</v>
      </c>
      <c r="C5" s="196">
        <v>0</v>
      </c>
      <c r="D5" s="196">
        <v>1</v>
      </c>
      <c r="E5" s="196">
        <v>1</v>
      </c>
      <c r="F5" s="194">
        <v>0</v>
      </c>
    </row>
    <row r="6" spans="1:6" hidden="1" x14ac:dyDescent="0.3">
      <c r="A6" s="191">
        <f t="shared" si="0"/>
        <v>5</v>
      </c>
      <c r="B6" s="196">
        <v>0</v>
      </c>
      <c r="C6" s="196">
        <v>1</v>
      </c>
      <c r="D6" s="196">
        <v>0</v>
      </c>
      <c r="E6" s="196">
        <v>0</v>
      </c>
      <c r="F6" s="194"/>
    </row>
    <row r="7" spans="1:6" hidden="1" x14ac:dyDescent="0.3">
      <c r="A7" s="191">
        <f t="shared" si="0"/>
        <v>6</v>
      </c>
      <c r="B7" s="196">
        <v>0</v>
      </c>
      <c r="C7" s="196">
        <v>1</v>
      </c>
      <c r="D7" s="196">
        <v>0</v>
      </c>
      <c r="E7" s="196">
        <v>1</v>
      </c>
      <c r="F7" s="194"/>
    </row>
    <row r="8" spans="1:6" hidden="1" x14ac:dyDescent="0.3">
      <c r="A8" s="191">
        <f t="shared" si="0"/>
        <v>7</v>
      </c>
      <c r="B8" s="196">
        <v>0</v>
      </c>
      <c r="C8" s="196">
        <v>1</v>
      </c>
      <c r="D8" s="196">
        <v>1</v>
      </c>
      <c r="E8" s="196">
        <v>0</v>
      </c>
      <c r="F8" s="194"/>
    </row>
    <row r="9" spans="1:6" hidden="1" x14ac:dyDescent="0.3">
      <c r="A9" s="191">
        <f t="shared" si="0"/>
        <v>8</v>
      </c>
      <c r="B9" s="196">
        <v>0</v>
      </c>
      <c r="C9" s="196">
        <v>1</v>
      </c>
      <c r="D9" s="196">
        <v>1</v>
      </c>
      <c r="E9" s="197">
        <v>1</v>
      </c>
      <c r="F9" s="194"/>
    </row>
    <row r="10" spans="1:6" hidden="1" x14ac:dyDescent="0.3">
      <c r="A10" s="191">
        <f t="shared" si="0"/>
        <v>9</v>
      </c>
      <c r="B10" s="196">
        <v>1</v>
      </c>
      <c r="C10" s="196">
        <v>0</v>
      </c>
      <c r="D10" s="196">
        <v>0</v>
      </c>
      <c r="E10" s="197">
        <v>0</v>
      </c>
      <c r="F10" s="194"/>
    </row>
    <row r="11" spans="1:6" hidden="1" x14ac:dyDescent="0.3">
      <c r="A11" s="191">
        <f t="shared" si="0"/>
        <v>10</v>
      </c>
      <c r="B11" s="196">
        <v>1</v>
      </c>
      <c r="C11" s="196">
        <v>0</v>
      </c>
      <c r="D11" s="196">
        <v>0</v>
      </c>
      <c r="E11" s="197">
        <v>1</v>
      </c>
      <c r="F11" s="194"/>
    </row>
    <row r="12" spans="1:6" hidden="1" x14ac:dyDescent="0.3">
      <c r="A12" s="191">
        <f t="shared" si="0"/>
        <v>11</v>
      </c>
      <c r="B12" s="196">
        <v>1</v>
      </c>
      <c r="C12" s="196">
        <v>0</v>
      </c>
      <c r="D12" s="196">
        <v>1</v>
      </c>
      <c r="E12" s="196">
        <v>0</v>
      </c>
      <c r="F12" s="194"/>
    </row>
    <row r="13" spans="1:6" hidden="1" x14ac:dyDescent="0.3">
      <c r="A13" s="191">
        <f t="shared" si="0"/>
        <v>12</v>
      </c>
      <c r="B13" s="196">
        <v>1</v>
      </c>
      <c r="C13" s="196">
        <v>0</v>
      </c>
      <c r="D13" s="196">
        <v>1</v>
      </c>
      <c r="E13" s="196">
        <v>1</v>
      </c>
      <c r="F13" s="194"/>
    </row>
    <row r="14" spans="1:6" hidden="1" x14ac:dyDescent="0.3">
      <c r="A14" s="191">
        <f t="shared" si="0"/>
        <v>13</v>
      </c>
      <c r="B14" s="196">
        <v>1</v>
      </c>
      <c r="C14" s="196">
        <v>1</v>
      </c>
      <c r="D14" s="196">
        <v>0</v>
      </c>
      <c r="E14" s="196">
        <v>0</v>
      </c>
      <c r="F14" s="194"/>
    </row>
    <row r="15" spans="1:6" hidden="1" x14ac:dyDescent="0.3">
      <c r="A15" s="191">
        <f t="shared" si="0"/>
        <v>14</v>
      </c>
      <c r="B15" s="196">
        <v>1</v>
      </c>
      <c r="C15" s="196">
        <v>1</v>
      </c>
      <c r="D15" s="196">
        <v>0</v>
      </c>
      <c r="E15" s="196">
        <v>1</v>
      </c>
      <c r="F15" s="194"/>
    </row>
    <row r="16" spans="1:6" hidden="1" x14ac:dyDescent="0.3">
      <c r="A16" s="191">
        <f t="shared" si="0"/>
        <v>15</v>
      </c>
      <c r="B16" s="196">
        <v>1</v>
      </c>
      <c r="C16" s="196">
        <v>1</v>
      </c>
      <c r="D16" s="196">
        <v>1</v>
      </c>
      <c r="E16" s="196">
        <v>0</v>
      </c>
      <c r="F16" s="194"/>
    </row>
    <row r="17" spans="1:6" hidden="1" x14ac:dyDescent="0.3">
      <c r="A17" s="191">
        <f t="shared" si="0"/>
        <v>16</v>
      </c>
      <c r="B17" s="196">
        <v>1</v>
      </c>
      <c r="C17" s="196">
        <v>1</v>
      </c>
      <c r="D17" s="196">
        <v>1</v>
      </c>
      <c r="E17" s="197">
        <v>1</v>
      </c>
      <c r="F17" s="194"/>
    </row>
    <row r="18" spans="1:6" hidden="1" x14ac:dyDescent="0.3"/>
  </sheetData>
  <autoFilter ref="A1:G17" xr:uid="{86DBF548-5B3A-4991-8101-8EF04E89A0E0}">
    <filterColumn colId="5">
      <customFilters>
        <customFilter operator="notEqual" val=" 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D8"/>
  <sheetViews>
    <sheetView workbookViewId="0">
      <selection activeCell="A8" sqref="A8"/>
    </sheetView>
  </sheetViews>
  <sheetFormatPr defaultColWidth="8.88671875" defaultRowHeight="14.4" x14ac:dyDescent="0.3"/>
  <cols>
    <col min="1" max="1" width="67.33203125" style="150" customWidth="1"/>
    <col min="2" max="2" width="16.6640625" style="127" customWidth="1"/>
    <col min="3" max="3" width="67.33203125" style="150" customWidth="1"/>
    <col min="4" max="4" width="8.77734375" customWidth="1"/>
    <col min="5" max="16384" width="8.88671875" style="127"/>
  </cols>
  <sheetData>
    <row r="1" spans="1:4" x14ac:dyDescent="0.3">
      <c r="A1" s="150" t="s">
        <v>165</v>
      </c>
    </row>
    <row r="2" spans="1:4" x14ac:dyDescent="0.3">
      <c r="A2" s="183" t="s">
        <v>168</v>
      </c>
      <c r="B2" s="127" t="s">
        <v>166</v>
      </c>
    </row>
    <row r="3" spans="1:4" x14ac:dyDescent="0.3">
      <c r="A3" s="183" t="s">
        <v>169</v>
      </c>
      <c r="B3" s="127" t="s">
        <v>166</v>
      </c>
    </row>
    <row r="4" spans="1:4" x14ac:dyDescent="0.3">
      <c r="A4" s="183" t="s">
        <v>172</v>
      </c>
      <c r="B4" s="127" t="s">
        <v>166</v>
      </c>
    </row>
    <row r="5" spans="1:4" x14ac:dyDescent="0.3">
      <c r="A5" s="183" t="s">
        <v>171</v>
      </c>
      <c r="B5" s="127" t="s">
        <v>166</v>
      </c>
    </row>
    <row r="6" spans="1:4" x14ac:dyDescent="0.3">
      <c r="A6" s="183"/>
    </row>
    <row r="7" spans="1:4" ht="43.2" x14ac:dyDescent="0.3">
      <c r="A7" s="150" t="s">
        <v>150</v>
      </c>
      <c r="B7" s="127" t="s">
        <v>152</v>
      </c>
      <c r="C7" s="150" t="s">
        <v>149</v>
      </c>
      <c r="D7" s="127"/>
    </row>
    <row r="8" spans="1:4" x14ac:dyDescent="0.3">
      <c r="A8" s="150" t="s">
        <v>151</v>
      </c>
      <c r="B8" s="127" t="s">
        <v>152</v>
      </c>
      <c r="C8" s="150" t="s">
        <v>167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topLeftCell="A4" workbookViewId="0">
      <selection activeCell="C13" sqref="C13"/>
    </sheetView>
  </sheetViews>
  <sheetFormatPr defaultColWidth="8.88671875" defaultRowHeight="14.4" x14ac:dyDescent="0.3"/>
  <cols>
    <col min="1" max="1" width="14.88671875" style="127" customWidth="1"/>
    <col min="2" max="2" width="108.109375" style="127" customWidth="1"/>
    <col min="3" max="3" width="14.109375" style="151" customWidth="1"/>
    <col min="4" max="16384" width="8.88671875" style="127"/>
  </cols>
  <sheetData>
    <row r="1" spans="1:3" s="133" customFormat="1" ht="28.8" x14ac:dyDescent="0.3">
      <c r="A1" s="167" t="s">
        <v>153</v>
      </c>
      <c r="B1" s="167" t="s">
        <v>143</v>
      </c>
      <c r="C1" s="168" t="s">
        <v>157</v>
      </c>
    </row>
    <row r="2" spans="1:3" x14ac:dyDescent="0.3">
      <c r="A2" s="169" t="s">
        <v>128</v>
      </c>
      <c r="B2" s="170" t="s">
        <v>135</v>
      </c>
      <c r="C2" s="171"/>
    </row>
    <row r="3" spans="1:3" x14ac:dyDescent="0.3">
      <c r="A3" s="169" t="s">
        <v>130</v>
      </c>
      <c r="B3" s="170" t="s">
        <v>137</v>
      </c>
      <c r="C3" s="171"/>
    </row>
    <row r="4" spans="1:3" x14ac:dyDescent="0.3">
      <c r="A4" s="169" t="s">
        <v>133</v>
      </c>
      <c r="B4" s="170" t="s">
        <v>154</v>
      </c>
      <c r="C4" s="171"/>
    </row>
    <row r="5" spans="1:3" x14ac:dyDescent="0.3">
      <c r="A5" s="169" t="s">
        <v>132</v>
      </c>
      <c r="B5" s="170" t="s">
        <v>136</v>
      </c>
      <c r="C5" s="171">
        <v>252</v>
      </c>
    </row>
    <row r="6" spans="1:3" s="128" customFormat="1" x14ac:dyDescent="0.3">
      <c r="A6" s="169" t="s">
        <v>140</v>
      </c>
      <c r="B6" s="170" t="s">
        <v>138</v>
      </c>
      <c r="C6" s="172">
        <v>252</v>
      </c>
    </row>
    <row r="7" spans="1:3" s="128" customFormat="1" x14ac:dyDescent="0.3">
      <c r="A7" s="169" t="s">
        <v>134</v>
      </c>
      <c r="B7" s="170" t="s">
        <v>139</v>
      </c>
      <c r="C7" s="172">
        <v>257</v>
      </c>
    </row>
    <row r="8" spans="1:3" x14ac:dyDescent="0.3">
      <c r="A8" s="169" t="s">
        <v>148</v>
      </c>
      <c r="B8" s="170" t="s">
        <v>145</v>
      </c>
      <c r="C8" s="171">
        <v>381</v>
      </c>
    </row>
    <row r="9" spans="1:3" x14ac:dyDescent="0.3">
      <c r="A9" s="169" t="s">
        <v>147</v>
      </c>
      <c r="B9" s="170" t="s">
        <v>146</v>
      </c>
      <c r="C9" s="171">
        <v>381</v>
      </c>
    </row>
    <row r="10" spans="1:3" ht="82.2" customHeight="1" x14ac:dyDescent="0.3">
      <c r="A10" s="169" t="s">
        <v>162</v>
      </c>
      <c r="B10" s="173" t="s">
        <v>158</v>
      </c>
      <c r="C10" s="171">
        <v>533</v>
      </c>
    </row>
    <row r="11" spans="1:3" x14ac:dyDescent="0.3">
      <c r="A11" s="169" t="s">
        <v>175</v>
      </c>
      <c r="B11" s="173" t="s">
        <v>170</v>
      </c>
      <c r="C11" s="171">
        <v>734</v>
      </c>
    </row>
    <row r="12" spans="1:3" x14ac:dyDescent="0.3">
      <c r="A12" s="201" t="s">
        <v>190</v>
      </c>
      <c r="B12" s="170" t="s">
        <v>155</v>
      </c>
      <c r="C12" s="171">
        <v>1188</v>
      </c>
    </row>
    <row r="13" spans="1:3" x14ac:dyDescent="0.3">
      <c r="A13" s="174" t="s">
        <v>160</v>
      </c>
      <c r="B13" s="170" t="s">
        <v>142</v>
      </c>
      <c r="C13" s="171"/>
    </row>
    <row r="14" spans="1:3" x14ac:dyDescent="0.3">
      <c r="A14" s="174" t="s">
        <v>160</v>
      </c>
      <c r="B14" s="170" t="s">
        <v>141</v>
      </c>
      <c r="C14" s="171"/>
    </row>
    <row r="15" spans="1:3" x14ac:dyDescent="0.3">
      <c r="A15" s="174" t="s">
        <v>160</v>
      </c>
      <c r="B15" s="170" t="s">
        <v>156</v>
      </c>
      <c r="C15" s="171"/>
    </row>
    <row r="17" spans="1:2" x14ac:dyDescent="0.3">
      <c r="B17" s="132" t="s">
        <v>131</v>
      </c>
    </row>
    <row r="18" spans="1:2" x14ac:dyDescent="0.3">
      <c r="A18" s="174" t="s">
        <v>160</v>
      </c>
      <c r="B18" s="174" t="s">
        <v>159</v>
      </c>
    </row>
    <row r="19" spans="1:2" x14ac:dyDescent="0.3">
      <c r="A19" s="174" t="s">
        <v>160</v>
      </c>
      <c r="B19" s="174" t="s">
        <v>144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B24"/>
  <sheetViews>
    <sheetView topLeftCell="A4" workbookViewId="0">
      <selection activeCell="B24" sqref="B24"/>
    </sheetView>
  </sheetViews>
  <sheetFormatPr defaultRowHeight="14.4" x14ac:dyDescent="0.3"/>
  <cols>
    <col min="2" max="2" width="8.88671875" style="195"/>
  </cols>
  <sheetData>
    <row r="7" spans="1:2" x14ac:dyDescent="0.3">
      <c r="A7">
        <v>252</v>
      </c>
      <c r="B7" s="195">
        <f t="shared" ref="B7:B16" si="0">A7/(ROW()-1)</f>
        <v>42</v>
      </c>
    </row>
    <row r="8" spans="1:2" x14ac:dyDescent="0.3">
      <c r="A8">
        <v>252</v>
      </c>
      <c r="B8" s="195">
        <f t="shared" si="0"/>
        <v>36</v>
      </c>
    </row>
    <row r="9" spans="1:2" x14ac:dyDescent="0.3">
      <c r="A9">
        <v>257</v>
      </c>
      <c r="B9" s="195">
        <f t="shared" si="0"/>
        <v>32.125</v>
      </c>
    </row>
    <row r="10" spans="1:2" x14ac:dyDescent="0.3">
      <c r="A10">
        <v>381</v>
      </c>
      <c r="B10" s="195">
        <f t="shared" si="0"/>
        <v>42.333333333333336</v>
      </c>
    </row>
    <row r="12" spans="1:2" x14ac:dyDescent="0.3">
      <c r="A12">
        <v>443</v>
      </c>
      <c r="B12" s="195">
        <f t="shared" si="0"/>
        <v>40.272727272727273</v>
      </c>
    </row>
    <row r="13" spans="1:2" x14ac:dyDescent="0.3">
      <c r="A13">
        <f>60+186+85+123+80</f>
        <v>534</v>
      </c>
      <c r="B13" s="195">
        <f t="shared" si="0"/>
        <v>44.5</v>
      </c>
    </row>
    <row r="14" spans="1:2" x14ac:dyDescent="0.3">
      <c r="A14">
        <f>60+190 +80+81+122</f>
        <v>533</v>
      </c>
      <c r="B14" s="195">
        <f t="shared" si="0"/>
        <v>41</v>
      </c>
    </row>
    <row r="15" spans="1:2" x14ac:dyDescent="0.3">
      <c r="A15">
        <f>136+79+85+143+122</f>
        <v>565</v>
      </c>
      <c r="B15" s="195">
        <f t="shared" si="0"/>
        <v>40.357142857142854</v>
      </c>
    </row>
    <row r="16" spans="1:2" x14ac:dyDescent="0.3">
      <c r="A16">
        <f>150+143+144+122+85</f>
        <v>644</v>
      </c>
      <c r="B16" s="195">
        <f t="shared" si="0"/>
        <v>42.93333333333333</v>
      </c>
    </row>
    <row r="17" spans="1:2" x14ac:dyDescent="0.3">
      <c r="A17">
        <f>148+149+159+85+122</f>
        <v>663</v>
      </c>
      <c r="B17" s="195">
        <f>A17/(ROW()-1)</f>
        <v>41.4375</v>
      </c>
    </row>
    <row r="18" spans="1:2" x14ac:dyDescent="0.3">
      <c r="A18">
        <f>148+149+233+115+89</f>
        <v>734</v>
      </c>
      <c r="B18" s="195">
        <f t="shared" ref="B18:B23" si="1">A18/(ROW()-1)</f>
        <v>43.176470588235297</v>
      </c>
    </row>
    <row r="19" spans="1:2" x14ac:dyDescent="0.3">
      <c r="A19">
        <f>148+156+304+115+84</f>
        <v>807</v>
      </c>
      <c r="B19" s="195">
        <f t="shared" si="1"/>
        <v>44.833333333333336</v>
      </c>
    </row>
    <row r="21" spans="1:2" x14ac:dyDescent="0.3">
      <c r="A21">
        <f>148+153+303+115+84</f>
        <v>803</v>
      </c>
      <c r="B21" s="195">
        <f t="shared" si="1"/>
        <v>40.15</v>
      </c>
    </row>
    <row r="23" spans="1:2" x14ac:dyDescent="0.3">
      <c r="A23">
        <f>176+153+638+88+115+20</f>
        <v>1190</v>
      </c>
      <c r="B23" s="195">
        <f t="shared" si="1"/>
        <v>54.090909090909093</v>
      </c>
    </row>
    <row r="24" spans="1:2" x14ac:dyDescent="0.3">
      <c r="A24">
        <f>176+153+636+20+88+115</f>
        <v>1188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7CF6-9C43-45A8-9C1A-822A13F6D752}">
  <sheetPr codeName="Лист2">
    <pageSetUpPr fitToPage="1"/>
  </sheetPr>
  <dimension ref="E6:V111"/>
  <sheetViews>
    <sheetView topLeftCell="A2" zoomScale="70" zoomScaleNormal="70" zoomScaleSheetLayoutView="100" workbookViewId="0">
      <selection activeCell="J20" sqref="J20"/>
    </sheetView>
  </sheetViews>
  <sheetFormatPr defaultColWidth="9.109375" defaultRowHeight="13.2" x14ac:dyDescent="0.25"/>
  <cols>
    <col min="1" max="4" width="9.109375" style="5"/>
    <col min="5" max="5" width="12.6640625" style="152" customWidth="1"/>
    <col min="6" max="6" width="6.5546875" style="152" customWidth="1"/>
    <col min="7" max="7" width="21.109375" style="153" customWidth="1"/>
    <col min="8" max="8" width="46.6640625" style="154" customWidth="1"/>
    <col min="9" max="9" width="18.6640625" style="154" customWidth="1"/>
    <col min="10" max="10" width="14" style="155" customWidth="1"/>
    <col min="11" max="11" width="14.5546875" style="156" customWidth="1"/>
    <col min="12" max="12" width="14.6640625" style="157" customWidth="1"/>
    <col min="13" max="13" width="14" style="156" customWidth="1"/>
    <col min="14" max="14" width="15.109375" style="158" customWidth="1"/>
    <col min="15" max="15" width="17.6640625" style="156" customWidth="1"/>
    <col min="16" max="16" width="12.33203125" style="156" customWidth="1"/>
    <col min="17" max="17" width="13.88671875" style="159" customWidth="1"/>
    <col min="18" max="18" width="14.6640625" style="160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6" spans="5:20" ht="13.8" x14ac:dyDescent="0.25">
      <c r="E6" s="25"/>
      <c r="F6" s="25"/>
      <c r="G6" s="7"/>
      <c r="H6" s="43"/>
      <c r="I6" s="43"/>
      <c r="J6" s="26"/>
      <c r="K6" s="162"/>
      <c r="L6" s="27"/>
      <c r="M6" s="162"/>
      <c r="N6" s="28"/>
      <c r="O6" s="162"/>
      <c r="P6" s="238" t="s">
        <v>46</v>
      </c>
      <c r="Q6" s="239"/>
      <c r="R6" s="240"/>
    </row>
    <row r="7" spans="5:20" ht="13.8" x14ac:dyDescent="0.25">
      <c r="E7" s="25"/>
      <c r="F7" s="25"/>
      <c r="G7" s="7"/>
      <c r="H7" s="43"/>
      <c r="I7" s="43"/>
      <c r="J7" s="26"/>
      <c r="K7" s="162"/>
      <c r="L7" s="27"/>
      <c r="M7" s="162"/>
      <c r="N7" s="28"/>
      <c r="O7" s="162" t="s">
        <v>96</v>
      </c>
      <c r="P7" s="238" t="s">
        <v>4</v>
      </c>
      <c r="Q7" s="239"/>
      <c r="R7" s="240"/>
    </row>
    <row r="8" spans="5:20" ht="13.8" x14ac:dyDescent="0.25">
      <c r="E8" s="25"/>
      <c r="F8" s="25"/>
      <c r="G8" s="7"/>
      <c r="H8" s="43"/>
      <c r="I8" s="43"/>
      <c r="J8" s="26"/>
      <c r="K8" s="162"/>
      <c r="L8" s="27"/>
      <c r="M8" s="162"/>
      <c r="N8" s="28"/>
      <c r="O8" s="162"/>
      <c r="P8" s="238"/>
      <c r="Q8" s="239"/>
      <c r="R8" s="240"/>
    </row>
    <row r="9" spans="5:20" ht="15" customHeight="1" x14ac:dyDescent="0.25">
      <c r="E9" s="269" t="s">
        <v>36</v>
      </c>
      <c r="F9" s="269"/>
      <c r="G9" s="269"/>
      <c r="H9" s="283" t="s">
        <v>20</v>
      </c>
      <c r="I9" s="283"/>
      <c r="J9" s="283"/>
      <c r="K9" s="283"/>
      <c r="L9" s="283"/>
      <c r="M9" s="283"/>
      <c r="N9" s="283"/>
      <c r="O9" s="162" t="s">
        <v>106</v>
      </c>
      <c r="P9" s="256" t="s">
        <v>6</v>
      </c>
      <c r="Q9" s="257"/>
      <c r="R9" s="258"/>
    </row>
    <row r="10" spans="5:20" ht="24.9" customHeight="1" x14ac:dyDescent="0.25">
      <c r="E10" s="269" t="s">
        <v>37</v>
      </c>
      <c r="F10" s="269"/>
      <c r="G10" s="269"/>
      <c r="H10" s="276" t="s">
        <v>95</v>
      </c>
      <c r="I10" s="276"/>
      <c r="J10" s="276"/>
      <c r="K10" s="276"/>
      <c r="L10" s="276"/>
      <c r="M10" s="276"/>
      <c r="N10" s="276"/>
      <c r="O10" s="162" t="s">
        <v>106</v>
      </c>
      <c r="P10" s="280" t="s">
        <v>18</v>
      </c>
      <c r="Q10" s="281"/>
      <c r="R10" s="282"/>
    </row>
    <row r="11" spans="5:20" ht="24.9" customHeight="1" x14ac:dyDescent="0.25">
      <c r="E11" s="269" t="s">
        <v>28</v>
      </c>
      <c r="F11" s="269"/>
      <c r="G11" s="269"/>
      <c r="H11" s="274" t="s">
        <v>21</v>
      </c>
      <c r="I11" s="274"/>
      <c r="J11" s="274"/>
      <c r="K11" s="274"/>
      <c r="L11" s="274"/>
      <c r="M11" s="274"/>
      <c r="N11" s="274"/>
      <c r="O11" s="162" t="s">
        <v>106</v>
      </c>
      <c r="P11" s="256" t="s">
        <v>15</v>
      </c>
      <c r="Q11" s="257"/>
      <c r="R11" s="258"/>
    </row>
    <row r="12" spans="5:20" ht="24.9" customHeight="1" x14ac:dyDescent="0.25">
      <c r="E12" s="273" t="s">
        <v>89</v>
      </c>
      <c r="F12" s="273"/>
      <c r="G12" s="273"/>
      <c r="H12" s="274" t="s">
        <v>62</v>
      </c>
      <c r="I12" s="274"/>
      <c r="J12" s="274"/>
      <c r="K12" s="274"/>
      <c r="L12" s="274"/>
      <c r="M12" s="274"/>
      <c r="N12" s="274"/>
      <c r="O12" s="162" t="s">
        <v>106</v>
      </c>
      <c r="P12" s="275" t="s">
        <v>17</v>
      </c>
      <c r="Q12" s="275"/>
      <c r="R12" s="275"/>
    </row>
    <row r="13" spans="5:20" ht="24.9" customHeight="1" x14ac:dyDescent="0.25">
      <c r="E13" s="117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77" t="s">
        <v>127</v>
      </c>
      <c r="Q13" s="278"/>
      <c r="R13" s="279"/>
    </row>
    <row r="14" spans="5:20" ht="13.8" x14ac:dyDescent="0.25">
      <c r="E14" s="301" t="s">
        <v>88</v>
      </c>
      <c r="F14" s="301"/>
      <c r="G14" s="7"/>
      <c r="H14" s="276" t="s">
        <v>49</v>
      </c>
      <c r="I14" s="276"/>
      <c r="J14" s="276"/>
      <c r="K14" s="276"/>
      <c r="L14" s="276"/>
      <c r="M14" s="276"/>
      <c r="N14" s="276"/>
      <c r="O14" s="162"/>
      <c r="P14" s="256"/>
      <c r="Q14" s="257"/>
      <c r="R14" s="258"/>
    </row>
    <row r="15" spans="5:20" ht="13.8" x14ac:dyDescent="0.25">
      <c r="E15" s="269" t="s">
        <v>29</v>
      </c>
      <c r="F15" s="269"/>
      <c r="G15" s="269"/>
      <c r="H15" s="270" t="s">
        <v>66</v>
      </c>
      <c r="I15" s="270"/>
      <c r="J15" s="270"/>
      <c r="K15" s="270"/>
      <c r="L15" s="270"/>
      <c r="M15" s="270"/>
      <c r="N15" s="270"/>
      <c r="O15" s="162"/>
      <c r="P15" s="271"/>
      <c r="Q15" s="271"/>
      <c r="R15" s="271"/>
      <c r="T15" s="131"/>
    </row>
    <row r="16" spans="5:20" ht="13.8" x14ac:dyDescent="0.25">
      <c r="E16" s="301" t="s">
        <v>64</v>
      </c>
      <c r="F16" s="301"/>
      <c r="G16" s="7"/>
      <c r="H16" s="270" t="s">
        <v>63</v>
      </c>
      <c r="I16" s="270"/>
      <c r="J16" s="270"/>
      <c r="K16" s="270"/>
      <c r="L16" s="270"/>
      <c r="M16" s="270"/>
      <c r="N16" s="270"/>
      <c r="O16" s="162" t="s">
        <v>40</v>
      </c>
      <c r="P16" s="271"/>
      <c r="Q16" s="271"/>
      <c r="R16" s="271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54" t="s">
        <v>22</v>
      </c>
      <c r="N17" s="254"/>
      <c r="O17" s="255"/>
      <c r="P17" s="256"/>
      <c r="Q17" s="257"/>
      <c r="R17" s="258"/>
    </row>
    <row r="18" spans="5:18" ht="15" customHeight="1" x14ac:dyDescent="0.25">
      <c r="E18" s="259" t="s">
        <v>80</v>
      </c>
      <c r="F18" s="260"/>
      <c r="G18" s="260"/>
      <c r="H18" s="260"/>
      <c r="I18" s="260"/>
      <c r="J18" s="261"/>
      <c r="K18" s="260"/>
      <c r="L18" s="260"/>
      <c r="M18" s="162"/>
      <c r="N18" s="124" t="s">
        <v>31</v>
      </c>
      <c r="O18" s="33" t="s">
        <v>103</v>
      </c>
      <c r="P18" s="262" t="s">
        <v>14</v>
      </c>
      <c r="Q18" s="263"/>
      <c r="R18" s="264"/>
    </row>
    <row r="19" spans="5:18" ht="13.8" x14ac:dyDescent="0.25">
      <c r="E19" s="265" t="s">
        <v>76</v>
      </c>
      <c r="F19" s="260"/>
      <c r="G19" s="260"/>
      <c r="H19" s="260"/>
      <c r="I19" s="260"/>
      <c r="J19" s="261"/>
      <c r="K19" s="260"/>
      <c r="L19" s="260"/>
      <c r="M19" s="254"/>
      <c r="N19" s="255"/>
      <c r="O19" s="34" t="s">
        <v>101</v>
      </c>
      <c r="P19" s="266" t="s">
        <v>10</v>
      </c>
      <c r="Q19" s="267"/>
      <c r="R19" s="268"/>
    </row>
    <row r="20" spans="5:18" ht="13.8" x14ac:dyDescent="0.25">
      <c r="E20" s="37" t="s">
        <v>82</v>
      </c>
      <c r="F20" s="37"/>
      <c r="G20" s="37"/>
      <c r="H20" s="37"/>
      <c r="I20" s="163"/>
      <c r="J20" s="164" t="s">
        <v>0</v>
      </c>
      <c r="K20" s="37"/>
      <c r="L20" s="37"/>
      <c r="M20" s="162"/>
      <c r="N20" s="116" t="s">
        <v>32</v>
      </c>
      <c r="O20" s="33" t="s">
        <v>103</v>
      </c>
      <c r="P20" s="238"/>
      <c r="Q20" s="239"/>
      <c r="R20" s="240"/>
    </row>
    <row r="21" spans="5:18" ht="13.8" x14ac:dyDescent="0.25">
      <c r="E21" s="37" t="s">
        <v>87</v>
      </c>
      <c r="F21" s="37"/>
      <c r="G21" s="37"/>
      <c r="H21" s="37"/>
      <c r="I21" s="163"/>
      <c r="J21" s="164" t="s">
        <v>129</v>
      </c>
      <c r="K21" s="37"/>
      <c r="L21" s="37"/>
      <c r="M21" s="35"/>
      <c r="N21" s="28"/>
      <c r="O21" s="34" t="s">
        <v>101</v>
      </c>
      <c r="P21" s="241"/>
      <c r="Q21" s="242"/>
      <c r="R21" s="243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38" t="s">
        <v>77</v>
      </c>
      <c r="Q22" s="239"/>
      <c r="R22" s="240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162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162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162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162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162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162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162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162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162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162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162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162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162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162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162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162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162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162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162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162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162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162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162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95" t="s">
        <v>60</v>
      </c>
      <c r="K47" s="296"/>
      <c r="L47" s="296"/>
      <c r="M47" s="297"/>
      <c r="N47" s="252" t="s">
        <v>30</v>
      </c>
      <c r="O47" s="244" t="s">
        <v>67</v>
      </c>
      <c r="P47" s="245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98"/>
      <c r="K48" s="299"/>
      <c r="L48" s="299"/>
      <c r="M48" s="300"/>
      <c r="N48" s="253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25" t="s">
        <v>3</v>
      </c>
      <c r="K49" s="226"/>
      <c r="L49" s="226"/>
      <c r="M49" s="227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28" t="s">
        <v>19</v>
      </c>
      <c r="F51" s="228"/>
      <c r="G51" s="228"/>
      <c r="H51" s="228"/>
      <c r="I51" s="228"/>
      <c r="J51" s="228"/>
      <c r="K51" s="228"/>
      <c r="L51" s="228"/>
      <c r="M51" s="228"/>
      <c r="N51" s="228"/>
      <c r="O51" s="228"/>
      <c r="P51" s="228"/>
      <c r="Q51" s="228"/>
      <c r="R51" s="228"/>
    </row>
    <row r="52" spans="5:22" ht="14.25" customHeight="1" x14ac:dyDescent="0.25">
      <c r="E52" s="228" t="s">
        <v>61</v>
      </c>
      <c r="F52" s="228"/>
      <c r="G52" s="228"/>
      <c r="H52" s="228"/>
      <c r="I52" s="228"/>
      <c r="J52" s="228"/>
      <c r="K52" s="228"/>
      <c r="L52" s="228"/>
      <c r="M52" s="228"/>
      <c r="N52" s="228"/>
      <c r="O52" s="228"/>
      <c r="P52" s="228"/>
      <c r="Q52" s="228"/>
      <c r="R52" s="228"/>
    </row>
    <row r="53" spans="5:22" ht="13.5" customHeight="1" x14ac:dyDescent="0.25">
      <c r="E53" s="229"/>
      <c r="F53" s="229"/>
      <c r="G53" s="229"/>
      <c r="H53" s="229"/>
      <c r="I53" s="229"/>
      <c r="J53" s="229"/>
      <c r="K53" s="229"/>
      <c r="L53" s="229"/>
      <c r="M53" s="229"/>
      <c r="N53" s="229"/>
      <c r="O53" s="229"/>
      <c r="P53" s="229"/>
      <c r="Q53" s="229"/>
      <c r="R53" s="229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30" t="s">
        <v>59</v>
      </c>
      <c r="F55" s="230"/>
      <c r="G55" s="231" t="s">
        <v>98</v>
      </c>
      <c r="H55" s="294" t="s">
        <v>56</v>
      </c>
      <c r="I55" s="233" t="s">
        <v>68</v>
      </c>
      <c r="J55" s="231" t="s">
        <v>33</v>
      </c>
      <c r="K55" s="231" t="s">
        <v>47</v>
      </c>
      <c r="L55" s="208" t="s">
        <v>97</v>
      </c>
      <c r="M55" s="231" t="s">
        <v>69</v>
      </c>
      <c r="N55" s="235" t="s">
        <v>84</v>
      </c>
      <c r="O55" s="231" t="s">
        <v>73</v>
      </c>
      <c r="P55" s="236" t="s">
        <v>48</v>
      </c>
      <c r="Q55" s="235" t="s">
        <v>83</v>
      </c>
      <c r="R55" s="208" t="s">
        <v>35</v>
      </c>
    </row>
    <row r="56" spans="5:22" ht="41.4" x14ac:dyDescent="0.25">
      <c r="E56" s="161" t="s">
        <v>109</v>
      </c>
      <c r="F56" s="10" t="s">
        <v>107</v>
      </c>
      <c r="G56" s="231"/>
      <c r="H56" s="294"/>
      <c r="I56" s="234"/>
      <c r="J56" s="231"/>
      <c r="K56" s="231"/>
      <c r="L56" s="208"/>
      <c r="M56" s="231"/>
      <c r="N56" s="235"/>
      <c r="O56" s="231"/>
      <c r="P56" s="237"/>
      <c r="Q56" s="235"/>
      <c r="R56" s="208"/>
    </row>
    <row r="57" spans="5:22" ht="13.8" x14ac:dyDescent="0.25">
      <c r="E57" s="165">
        <v>1</v>
      </c>
      <c r="F57" s="165">
        <v>2</v>
      </c>
      <c r="G57" s="161">
        <v>3</v>
      </c>
      <c r="H57" s="161">
        <v>4</v>
      </c>
      <c r="I57" s="161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65">
        <v>13</v>
      </c>
    </row>
    <row r="58" spans="5:22" x14ac:dyDescent="0.25">
      <c r="I58" s="50"/>
      <c r="K58" s="155"/>
      <c r="M58" s="155"/>
      <c r="O58" s="155"/>
      <c r="P58" s="155"/>
      <c r="Q58" s="158"/>
      <c r="R58" s="157"/>
    </row>
    <row r="59" spans="5:22" ht="13.8" x14ac:dyDescent="0.25">
      <c r="E59" s="209" t="s">
        <v>75</v>
      </c>
      <c r="F59" s="210"/>
      <c r="G59" s="211"/>
      <c r="H59" s="212"/>
      <c r="I59" s="212"/>
      <c r="J59" s="213"/>
      <c r="K59" s="214"/>
      <c r="L59" s="215"/>
      <c r="M59" s="214"/>
      <c r="N59" s="216"/>
      <c r="O59" s="214"/>
      <c r="P59" s="214"/>
      <c r="Q59" s="217"/>
      <c r="R59" s="218"/>
    </row>
    <row r="62" spans="5:22" ht="13.8" x14ac:dyDescent="0.25">
      <c r="E62" s="209" t="s">
        <v>74</v>
      </c>
      <c r="F62" s="210"/>
      <c r="G62" s="211"/>
      <c r="H62" s="212"/>
      <c r="I62" s="212"/>
      <c r="J62" s="213"/>
      <c r="K62" s="214"/>
      <c r="L62" s="215"/>
      <c r="M62" s="214"/>
      <c r="N62" s="216"/>
      <c r="O62" s="214"/>
      <c r="P62" s="214"/>
      <c r="Q62" s="217"/>
      <c r="R62" s="218"/>
    </row>
    <row r="64" spans="5:22" ht="52.8" x14ac:dyDescent="0.25">
      <c r="E64" s="152">
        <v>1</v>
      </c>
      <c r="F64" s="152" t="s">
        <v>7</v>
      </c>
      <c r="G64" s="153" t="s">
        <v>93</v>
      </c>
      <c r="H64" s="153" t="s">
        <v>54</v>
      </c>
      <c r="J64" s="53" t="s">
        <v>8</v>
      </c>
      <c r="K64" s="155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55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55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55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55">
        <v>7.39</v>
      </c>
      <c r="Q68" s="54">
        <v>4670365</v>
      </c>
    </row>
    <row r="69" spans="5:18" x14ac:dyDescent="0.25">
      <c r="H69" s="56" t="s">
        <v>55</v>
      </c>
      <c r="K69" s="155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55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52">
        <v>2</v>
      </c>
      <c r="F73" s="152" t="s">
        <v>9</v>
      </c>
      <c r="G73" s="153" t="s">
        <v>94</v>
      </c>
      <c r="H73" s="153" t="s">
        <v>90</v>
      </c>
      <c r="J73" s="53" t="s">
        <v>102</v>
      </c>
      <c r="K73" s="155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52">
        <v>3</v>
      </c>
      <c r="F76" s="152" t="s">
        <v>12</v>
      </c>
      <c r="G76" s="153" t="s">
        <v>51</v>
      </c>
      <c r="H76" s="153" t="s">
        <v>45</v>
      </c>
      <c r="J76" s="53" t="s">
        <v>104</v>
      </c>
      <c r="K76" s="155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8:17" x14ac:dyDescent="0.25">
      <c r="H81" s="123" t="s">
        <v>72</v>
      </c>
      <c r="N81" s="54">
        <v>4534433</v>
      </c>
      <c r="Q81" s="54">
        <v>26798220</v>
      </c>
    </row>
    <row r="82" spans="8:17" x14ac:dyDescent="0.25">
      <c r="H82" s="125" t="s">
        <v>86</v>
      </c>
      <c r="N82" s="54">
        <v>975202</v>
      </c>
      <c r="Q82" s="54">
        <v>6158979</v>
      </c>
    </row>
    <row r="83" spans="8:17" x14ac:dyDescent="0.25">
      <c r="H83" s="56" t="s">
        <v>99</v>
      </c>
      <c r="N83" s="54">
        <v>3221482</v>
      </c>
      <c r="Q83" s="54">
        <v>8730216</v>
      </c>
    </row>
    <row r="84" spans="8:17" x14ac:dyDescent="0.25">
      <c r="H84" s="56" t="s">
        <v>34</v>
      </c>
      <c r="N84" s="54">
        <v>56826</v>
      </c>
      <c r="Q84" s="54">
        <v>2003692</v>
      </c>
    </row>
    <row r="85" spans="8:17" x14ac:dyDescent="0.25">
      <c r="H85" s="56" t="s">
        <v>65</v>
      </c>
      <c r="N85" s="54">
        <v>337749</v>
      </c>
      <c r="Q85" s="54">
        <v>11909025</v>
      </c>
    </row>
    <row r="86" spans="8:17" ht="13.8" x14ac:dyDescent="0.3">
      <c r="H86" s="60" t="s">
        <v>92</v>
      </c>
      <c r="N86" s="60">
        <v>30873</v>
      </c>
      <c r="Q86" s="120">
        <v>30873</v>
      </c>
    </row>
    <row r="87" spans="8:17" ht="13.8" x14ac:dyDescent="0.3">
      <c r="H87" s="57" t="s">
        <v>91</v>
      </c>
      <c r="N87" s="60">
        <v>4208</v>
      </c>
      <c r="Q87" s="120">
        <v>4208</v>
      </c>
    </row>
    <row r="88" spans="8:17" x14ac:dyDescent="0.25">
      <c r="H88" s="56" t="s">
        <v>57</v>
      </c>
      <c r="N88" s="54">
        <v>414304</v>
      </c>
      <c r="Q88" s="54">
        <v>14608353</v>
      </c>
    </row>
    <row r="89" spans="8:17" x14ac:dyDescent="0.25">
      <c r="H89" s="56" t="s">
        <v>81</v>
      </c>
      <c r="N89" s="54">
        <v>256474</v>
      </c>
      <c r="Q89" s="54">
        <v>6463140</v>
      </c>
    </row>
    <row r="90" spans="8:17" x14ac:dyDescent="0.25">
      <c r="H90" s="57" t="s">
        <v>25</v>
      </c>
      <c r="N90" s="57">
        <v>5205211</v>
      </c>
      <c r="Q90" s="57">
        <v>47869713</v>
      </c>
    </row>
    <row r="91" spans="8:17" x14ac:dyDescent="0.25">
      <c r="H91" s="57" t="s">
        <v>85</v>
      </c>
      <c r="N91" s="119"/>
      <c r="Q91" s="57">
        <v>3867389</v>
      </c>
    </row>
    <row r="92" spans="8:17" x14ac:dyDescent="0.25">
      <c r="H92" s="56" t="s">
        <v>41</v>
      </c>
      <c r="N92" s="57">
        <v>5205211</v>
      </c>
      <c r="Q92" s="121">
        <v>44002324</v>
      </c>
    </row>
    <row r="93" spans="8:17" x14ac:dyDescent="0.25">
      <c r="H93" s="118" t="s">
        <v>43</v>
      </c>
      <c r="Q93" s="105">
        <v>44002324</v>
      </c>
    </row>
    <row r="94" spans="8:17" x14ac:dyDescent="0.25">
      <c r="H94" s="59" t="s">
        <v>71</v>
      </c>
      <c r="N94" s="59">
        <v>208208</v>
      </c>
      <c r="Q94" s="59">
        <v>1760093</v>
      </c>
    </row>
    <row r="95" spans="8:17" x14ac:dyDescent="0.25">
      <c r="H95" s="57" t="s">
        <v>44</v>
      </c>
      <c r="N95" s="57">
        <v>5413419</v>
      </c>
      <c r="Q95" s="57">
        <v>45762417</v>
      </c>
    </row>
    <row r="96" spans="8:17" x14ac:dyDescent="0.25">
      <c r="H96" s="57" t="s">
        <v>26</v>
      </c>
      <c r="N96" s="57">
        <v>5413419</v>
      </c>
      <c r="Q96" s="122"/>
    </row>
    <row r="97" spans="5:18" x14ac:dyDescent="0.25"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220" t="s">
        <v>110</v>
      </c>
      <c r="F100" s="220"/>
      <c r="G100" s="220"/>
      <c r="H100" s="166" t="s">
        <v>111</v>
      </c>
      <c r="I100" s="83"/>
      <c r="J100" s="83"/>
      <c r="K100" s="5"/>
      <c r="L100" s="220" t="s">
        <v>122</v>
      </c>
      <c r="M100" s="220"/>
      <c r="N100" s="220"/>
      <c r="O100" s="166"/>
      <c r="P100" s="223" t="s">
        <v>123</v>
      </c>
      <c r="Q100" s="223" t="s">
        <v>112</v>
      </c>
      <c r="R100" s="223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221" t="s">
        <v>52</v>
      </c>
      <c r="M101" s="221"/>
      <c r="N101" s="221" t="s">
        <v>114</v>
      </c>
      <c r="O101" s="221"/>
      <c r="P101" s="224" t="s">
        <v>115</v>
      </c>
      <c r="Q101" s="224"/>
      <c r="R101" s="224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287" t="s">
        <v>124</v>
      </c>
      <c r="M102" s="287"/>
      <c r="N102" s="287"/>
      <c r="O102" s="287"/>
      <c r="P102" s="287"/>
      <c r="Q102" s="287"/>
      <c r="R102" s="287"/>
    </row>
    <row r="103" spans="5:18" x14ac:dyDescent="0.25">
      <c r="E103" s="288"/>
      <c r="F103" s="288"/>
      <c r="G103" s="288"/>
      <c r="H103" s="83"/>
      <c r="I103" s="89"/>
      <c r="J103" s="89"/>
      <c r="K103" s="5"/>
      <c r="L103" s="222" t="s">
        <v>24</v>
      </c>
      <c r="M103" s="222"/>
      <c r="N103" s="222"/>
      <c r="O103" s="89"/>
      <c r="P103" s="89"/>
      <c r="Q103" s="89"/>
      <c r="R103" s="89"/>
    </row>
    <row r="104" spans="5:18" x14ac:dyDescent="0.25">
      <c r="E104" s="219"/>
      <c r="F104" s="219"/>
      <c r="G104" s="219"/>
      <c r="H104" s="89"/>
      <c r="I104" s="89"/>
      <c r="J104" s="89"/>
      <c r="K104" s="5"/>
      <c r="L104" s="290" t="s">
        <v>117</v>
      </c>
      <c r="M104" s="290"/>
      <c r="N104" s="91"/>
      <c r="O104" s="91"/>
      <c r="P104" s="92"/>
      <c r="Q104" s="291" t="s">
        <v>118</v>
      </c>
      <c r="R104" s="291"/>
    </row>
    <row r="105" spans="5:18" x14ac:dyDescent="0.25">
      <c r="E105" s="289"/>
      <c r="F105" s="289"/>
      <c r="G105" s="289"/>
      <c r="H105" s="90"/>
      <c r="I105" s="89"/>
      <c r="J105" s="89"/>
      <c r="K105" s="5"/>
      <c r="L105" s="292" t="s">
        <v>114</v>
      </c>
      <c r="M105" s="292"/>
      <c r="N105" s="292"/>
      <c r="O105" s="292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293" t="s">
        <v>119</v>
      </c>
      <c r="R107" s="293"/>
    </row>
    <row r="108" spans="5:18" x14ac:dyDescent="0.25">
      <c r="E108" s="89"/>
      <c r="F108" s="89"/>
      <c r="G108" s="89"/>
      <c r="H108" s="89"/>
      <c r="I108" s="89"/>
      <c r="J108" s="89"/>
      <c r="K108" s="5"/>
      <c r="L108" s="286" t="s">
        <v>114</v>
      </c>
      <c r="M108" s="286"/>
      <c r="N108" s="286"/>
      <c r="O108" s="286"/>
      <c r="P108" s="85" t="s">
        <v>115</v>
      </c>
      <c r="Q108" s="85"/>
      <c r="R108" s="85"/>
    </row>
    <row r="109" spans="5:18" x14ac:dyDescent="0.25">
      <c r="L109" s="284" t="s">
        <v>120</v>
      </c>
      <c r="M109" s="284"/>
      <c r="N109" s="96"/>
      <c r="P109" s="97"/>
      <c r="Q109" s="98"/>
      <c r="R109" s="99"/>
    </row>
    <row r="110" spans="5:18" x14ac:dyDescent="0.25">
      <c r="L110" s="285"/>
      <c r="M110" s="285"/>
      <c r="N110" s="96"/>
      <c r="P110" s="100"/>
      <c r="Q110" s="101"/>
      <c r="R110" s="102" t="s">
        <v>121</v>
      </c>
    </row>
    <row r="111" spans="5:18" x14ac:dyDescent="0.25">
      <c r="L111" s="286" t="s">
        <v>114</v>
      </c>
      <c r="M111" s="286"/>
      <c r="N111" s="286"/>
      <c r="O111" s="286"/>
      <c r="P111" s="85" t="s">
        <v>115</v>
      </c>
    </row>
  </sheetData>
  <mergeCells count="74">
    <mergeCell ref="P6:R6"/>
    <mergeCell ref="P7:R7"/>
    <mergeCell ref="P8:R8"/>
    <mergeCell ref="E9:G9"/>
    <mergeCell ref="H9:N9"/>
    <mergeCell ref="P9:R9"/>
    <mergeCell ref="E10:G10"/>
    <mergeCell ref="H10:N10"/>
    <mergeCell ref="P10:R10"/>
    <mergeCell ref="E11:G11"/>
    <mergeCell ref="H11:N11"/>
    <mergeCell ref="P11:R11"/>
    <mergeCell ref="E12:G12"/>
    <mergeCell ref="H12:N12"/>
    <mergeCell ref="P12:R12"/>
    <mergeCell ref="P13:R13"/>
    <mergeCell ref="E14:F14"/>
    <mergeCell ref="H14:N14"/>
    <mergeCell ref="P14:R14"/>
    <mergeCell ref="E15:G15"/>
    <mergeCell ref="H15:N15"/>
    <mergeCell ref="P15:R15"/>
    <mergeCell ref="E16:F16"/>
    <mergeCell ref="H16:N16"/>
    <mergeCell ref="P16:R16"/>
    <mergeCell ref="M17:O17"/>
    <mergeCell ref="P17:R17"/>
    <mergeCell ref="E18:L18"/>
    <mergeCell ref="P18:R18"/>
    <mergeCell ref="E19:L19"/>
    <mergeCell ref="M19:N19"/>
    <mergeCell ref="P19:R19"/>
    <mergeCell ref="M55:M56"/>
    <mergeCell ref="N55:N56"/>
    <mergeCell ref="O55:O56"/>
    <mergeCell ref="P55:P56"/>
    <mergeCell ref="P20:R20"/>
    <mergeCell ref="P21:R21"/>
    <mergeCell ref="P22:R22"/>
    <mergeCell ref="J47:M48"/>
    <mergeCell ref="N47:N48"/>
    <mergeCell ref="O47:P47"/>
    <mergeCell ref="L104:M104"/>
    <mergeCell ref="Q104:R104"/>
    <mergeCell ref="E105:G105"/>
    <mergeCell ref="L105:O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R55:R56"/>
    <mergeCell ref="L55:L56"/>
    <mergeCell ref="Q107:R107"/>
    <mergeCell ref="L108:O108"/>
    <mergeCell ref="L109:M110"/>
    <mergeCell ref="Q55:Q56"/>
    <mergeCell ref="L111:O111"/>
    <mergeCell ref="L101:O101"/>
    <mergeCell ref="P101:R101"/>
    <mergeCell ref="L102:R102"/>
    <mergeCell ref="E59:R59"/>
    <mergeCell ref="E62:R62"/>
    <mergeCell ref="E100:G100"/>
    <mergeCell ref="L100:N100"/>
    <mergeCell ref="P100:R100"/>
    <mergeCell ref="E103:G103"/>
    <mergeCell ref="L103:N103"/>
    <mergeCell ref="E104:G104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8A61A-46C5-40DD-AE82-A3E7A55EA2E6}">
  <dimension ref="D1:H9"/>
  <sheetViews>
    <sheetView workbookViewId="0">
      <selection activeCell="G11" sqref="G11"/>
    </sheetView>
  </sheetViews>
  <sheetFormatPr defaultRowHeight="14.4" x14ac:dyDescent="0.3"/>
  <cols>
    <col min="1" max="3" width="8.88671875" style="202"/>
    <col min="4" max="4" width="16" style="206" customWidth="1"/>
    <col min="5" max="5" width="16.6640625" style="202" customWidth="1"/>
    <col min="6" max="6" width="29.5546875" style="205" customWidth="1"/>
    <col min="7" max="7" width="12.109375" style="205" customWidth="1"/>
    <col min="8" max="8" width="12.77734375" style="202" customWidth="1"/>
    <col min="9" max="16384" width="8.88671875" style="202"/>
  </cols>
  <sheetData>
    <row r="1" spans="4:8" ht="57.6" x14ac:dyDescent="0.3">
      <c r="F1" s="204" t="s">
        <v>186</v>
      </c>
    </row>
    <row r="3" spans="4:8" x14ac:dyDescent="0.3">
      <c r="E3" s="205" t="s">
        <v>189</v>
      </c>
      <c r="F3" s="205" t="s">
        <v>187</v>
      </c>
      <c r="G3" s="205" t="s">
        <v>182</v>
      </c>
    </row>
    <row r="4" spans="4:8" x14ac:dyDescent="0.3">
      <c r="D4" s="206" t="s">
        <v>183</v>
      </c>
      <c r="F4" s="205" t="s">
        <v>188</v>
      </c>
      <c r="G4" s="202"/>
    </row>
    <row r="5" spans="4:8" x14ac:dyDescent="0.3">
      <c r="D5" s="207" t="s">
        <v>185</v>
      </c>
      <c r="E5" s="204" t="s">
        <v>184</v>
      </c>
      <c r="F5" s="202"/>
    </row>
    <row r="6" spans="4:8" x14ac:dyDescent="0.3">
      <c r="E6" s="206" t="s">
        <v>178</v>
      </c>
    </row>
    <row r="8" spans="4:8" x14ac:dyDescent="0.3">
      <c r="F8" s="204"/>
    </row>
    <row r="9" spans="4:8" x14ac:dyDescent="0.3">
      <c r="D9" s="206" t="s">
        <v>183</v>
      </c>
      <c r="E9" s="204" t="s">
        <v>181</v>
      </c>
      <c r="H9" s="20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2C480-34CA-4EF6-9911-500D8979E68E}">
  <dimension ref="B3:D9"/>
  <sheetViews>
    <sheetView workbookViewId="0">
      <selection activeCell="D14" sqref="D14"/>
    </sheetView>
  </sheetViews>
  <sheetFormatPr defaultRowHeight="14.4" x14ac:dyDescent="0.3"/>
  <cols>
    <col min="2" max="2" width="45.77734375" customWidth="1"/>
    <col min="3" max="3" width="33.88671875" customWidth="1"/>
  </cols>
  <sheetData>
    <row r="3" spans="2:4" x14ac:dyDescent="0.3">
      <c r="B3" s="127"/>
      <c r="C3" s="127"/>
      <c r="D3" s="127" t="s">
        <v>176</v>
      </c>
    </row>
    <row r="4" spans="2:4" ht="43.2" x14ac:dyDescent="0.3">
      <c r="B4" s="150" t="s">
        <v>179</v>
      </c>
      <c r="C4" s="127" t="s">
        <v>178</v>
      </c>
      <c r="D4" s="127"/>
    </row>
    <row r="6" spans="2:4" ht="72" x14ac:dyDescent="0.3">
      <c r="B6" s="150" t="s">
        <v>177</v>
      </c>
      <c r="C6" s="127" t="s">
        <v>178</v>
      </c>
      <c r="D6" s="127"/>
    </row>
    <row r="8" spans="2:4" x14ac:dyDescent="0.3">
      <c r="B8" s="127"/>
      <c r="C8" s="127"/>
      <c r="D8" s="127"/>
    </row>
    <row r="9" spans="2:4" ht="43.2" x14ac:dyDescent="0.3">
      <c r="B9" s="150" t="s">
        <v>180</v>
      </c>
      <c r="C9" s="127"/>
      <c r="D9" s="12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10</vt:i4>
      </vt:variant>
    </vt:vector>
  </HeadingPairs>
  <TitlesOfParts>
    <vt:vector size="18" baseType="lpstr">
      <vt:lpstr>Лист1</vt:lpstr>
      <vt:lpstr>табл истиности</vt:lpstr>
      <vt:lpstr>Виды ошибок</vt:lpstr>
      <vt:lpstr>Цели</vt:lpstr>
      <vt:lpstr>строк кода</vt:lpstr>
      <vt:lpstr>Лист1 (2)</vt:lpstr>
      <vt:lpstr>Лист2</vt:lpstr>
      <vt:lpstr>Лист3</vt:lpstr>
      <vt:lpstr>'Лист1 (2)'!END_ITOG</vt:lpstr>
      <vt:lpstr>END_ITOG</vt:lpstr>
      <vt:lpstr>'Лист1 (2)'!END_LINE</vt:lpstr>
      <vt:lpstr>END_LINE</vt:lpstr>
      <vt:lpstr>'Лист1 (2)'!NAME_34</vt:lpstr>
      <vt:lpstr>NAME_34</vt:lpstr>
      <vt:lpstr>'Лист1 (2)'!NUMBER_LINE</vt:lpstr>
      <vt:lpstr>NUMBER_LINE</vt:lpstr>
      <vt:lpstr>Лист1!Заголовки_для_печати</vt:lpstr>
      <vt:lpstr>'Лист1 (2)'!Заголовки_для_печати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2022-06-27T14:46:27Z</dcterms:modified>
</cp:coreProperties>
</file>