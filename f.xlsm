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perator\rust\acts_ks2_etl\"/>
    </mc:Choice>
  </mc:AlternateContent>
  <xr:revisionPtr revIDLastSave="0" documentId="13_ncr:1_{D1C76B7B-40EA-4D57-A363-E49FB35FBFF1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5" l="1"/>
  <c r="A23" i="5"/>
  <c r="A21" i="5" l="1"/>
  <c r="B21" i="5" s="1"/>
  <c r="A19" i="5" l="1"/>
  <c r="B19" i="5" s="1"/>
  <c r="A18" i="5" l="1"/>
  <c r="B18" i="5" s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A17" i="5"/>
  <c r="B17" i="5" s="1"/>
  <c r="A16" i="5" l="1"/>
  <c r="B16" i="5" s="1"/>
  <c r="A15" i="5" l="1"/>
  <c r="B15" i="5" s="1"/>
  <c r="A14" i="5" l="1"/>
  <c r="B14" i="5" s="1"/>
  <c r="A13" i="5" l="1"/>
  <c r="B13" i="5" s="1"/>
</calcChain>
</file>

<file path=xl/sharedStrings.xml><?xml version="1.0" encoding="utf-8"?>
<sst xmlns="http://schemas.openxmlformats.org/spreadsheetml/2006/main" count="355" uniqueCount="177">
  <si>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</si>
  <si>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</si>
  <si>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</si>
  <si>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</si>
  <si>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</si>
  <si>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</si>
  <si>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</si>
  <si>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</si>
  <si>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</si>
  <si>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</si>
  <si>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</si>
  <si>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</si>
  <si>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</si>
  <si>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</si>
  <si>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</si>
  <si>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</si>
  <si>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</si>
  <si>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</si>
  <si>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</si>
  <si>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</si>
  <si>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</si>
  <si>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</si>
  <si>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</si>
  <si>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</si>
  <si>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</si>
  <si>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</si>
  <si>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</si>
  <si>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</si>
  <si>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</si>
  <si>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</si>
  <si>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</si>
  <si>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</si>
  <si>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</si>
  <si>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</si>
  <si>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</si>
  <si>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</si>
  <si>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</si>
  <si>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</si>
  <si>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</si>
  <si>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</si>
  <si>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</si>
  <si>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</si>
  <si>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</si>
  <si>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</si>
  <si>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</si>
  <si>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</si>
  <si>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</si>
  <si>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</si>
  <si>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</si>
  <si>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</si>
  <si>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</si>
  <si>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</si>
  <si>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</si>
  <si>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</si>
  <si>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</si>
  <si>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</si>
  <si>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</si>
  <si>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</si>
  <si>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</si>
  <si>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</si>
  <si>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</si>
  <si>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</si>
  <si>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</si>
  <si>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</si>
  <si>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</si>
  <si>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</si>
  <si>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</si>
  <si>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</si>
  <si>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</si>
  <si>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</si>
  <si>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</si>
  <si>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</si>
  <si>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</si>
  <si>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</si>
  <si>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</si>
  <si>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</si>
  <si>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</si>
  <si>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</si>
  <si>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</si>
  <si>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</si>
  <si>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</si>
  <si>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</si>
  <si>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</si>
  <si>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</si>
  <si>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</si>
  <si>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</si>
  <si>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</si>
  <si>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</si>
  <si>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</si>
  <si>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</si>
  <si>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</si>
  <si>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</si>
  <si>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</si>
  <si>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</si>
  <si>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</si>
  <si>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</si>
  <si>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</si>
  <si>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</si>
  <si>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</si>
  <si>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</si>
  <si>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</si>
  <si>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</si>
  <si>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</si>
  <si>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</si>
  <si>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</si>
  <si>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</si>
  <si>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</si>
  <si>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</si>
  <si>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</si>
  <si>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</si>
  <si>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</si>
  <si>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</si>
  <si>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</si>
  <si>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</si>
  <si>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</si>
  <si>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</si>
  <si>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</si>
  <si>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</si>
  <si>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</si>
  <si>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</si>
  <si>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</si>
  <si>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</si>
  <si>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</si>
  <si>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</si>
  <si>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</si>
  <si>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</si>
  <si>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</si>
  <si>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</si>
  <si>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</si>
  <si>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</si>
  <si>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</si>
  <si>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</si>
  <si>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</si>
  <si>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</si>
  <si>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</si>
  <si>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</si>
  <si>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</si>
  <si>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</si>
  <si>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</si>
  <si>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</si>
  <si>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</si>
  <si>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</si>
  <si>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</si>
  <si>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</si>
  <si>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</si>
  <si>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</si>
  <si>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</si>
  <si>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</si>
  <si>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</si>
  <si>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</si>
  <si>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</si>
  <si>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</si>
  <si>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</si>
  <si>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</si>
  <si>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</si>
  <si>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</si>
  <si>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</si>
  <si>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</si>
  <si>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</si>
  <si>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</si>
  <si>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</si>
  <si>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</si>
  <si>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</si>
  <si>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</si>
  <si>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</si>
  <si>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</si>
  <si>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</si>
  <si>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</si>
  <si>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</si>
  <si>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</si>
  <si>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</si>
  <si>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</si>
  <si>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</si>
  <si>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</si>
  <si>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</si>
  <si>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</si>
  <si>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19-23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</si>
</sst>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1" fillId="4" borderId="0" xfId="0" applyFont="1" applyFill="1" applyAlignment="1">
      <alignment horizontal="right" vertical="center"/>
    </xf>
    <xf numFmtId="0" fontId="0" fillId="9" borderId="1" xfId="0" applyFill="1" applyBorder="1" applyAlignment="1">
      <alignment vertical="top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zoomScale="70" zoomScaleNormal="70" zoomScaleSheetLayoutView="100" workbookViewId="0">
      <selection activeCell="J20" sqref="J20"/>
    </sheetView>
  </sheetViews>
  <sheetFormatPr defaultColWidth="9.08984375" defaultRowHeight="13" x14ac:dyDescent="0.3"/>
  <cols>
    <col min="1" max="4" width="9.08984375" style="5"/>
    <col min="5" max="5" width="12.6328125" style="1" customWidth="1"/>
    <col min="6" max="6" width="6.54296875" style="1" customWidth="1"/>
    <col min="7" max="7" width="21.08984375" style="2" customWidth="1"/>
    <col min="8" max="8" width="46.6328125" style="42" customWidth="1"/>
    <col min="9" max="9" width="18.6328125" style="42" customWidth="1"/>
    <col min="10" max="10" width="14" style="13" customWidth="1"/>
    <col min="11" max="11" width="14.54296875" style="14" customWidth="1"/>
    <col min="12" max="12" width="14.6328125" style="15" customWidth="1"/>
    <col min="13" max="13" width="14" style="14" customWidth="1"/>
    <col min="14" max="14" width="15.08984375" style="16" customWidth="1"/>
    <col min="15" max="15" width="17.6328125" style="14" customWidth="1"/>
    <col min="16" max="16" width="12.36328125" style="14" customWidth="1"/>
    <col min="17" max="17" width="13.90625" style="4" customWidth="1"/>
    <col min="18" max="18" width="14.6328125" style="3" customWidth="1"/>
    <col min="19" max="19" width="9.08984375" style="5"/>
    <col min="20" max="20" width="24.1796875" style="126" customWidth="1"/>
    <col min="21" max="21" width="15" style="126" customWidth="1"/>
    <col min="22" max="22" width="11.6328125" style="126" customWidth="1"/>
    <col min="23" max="16384" width="9.08984375" style="5"/>
  </cols>
  <sheetData>
    <row r="1" spans="5:20" x14ac:dyDescent="0.3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3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3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3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3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4" x14ac:dyDescent="0.3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2" t="s">
        <v>46</v>
      </c>
      <c r="Q6" s="213"/>
      <c r="R6" s="214"/>
    </row>
    <row r="7" spans="5:20" ht="14" x14ac:dyDescent="0.3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2" t="s">
        <v>4</v>
      </c>
      <c r="Q7" s="213"/>
      <c r="R7" s="214"/>
    </row>
    <row r="8" spans="5:20" ht="14" x14ac:dyDescent="0.3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2"/>
      <c r="Q8" s="213"/>
      <c r="R8" s="214"/>
    </row>
    <row r="9" spans="5:20" ht="15" customHeight="1" x14ac:dyDescent="0.3">
      <c r="E9" s="215" t="s">
        <v>36</v>
      </c>
      <c r="F9" s="215"/>
      <c r="G9" s="215"/>
      <c r="H9" s="216" t="s">
        <v>20</v>
      </c>
      <c r="I9" s="216"/>
      <c r="J9" s="216"/>
      <c r="K9" s="216"/>
      <c r="L9" s="216"/>
      <c r="M9" s="216"/>
      <c r="N9" s="216"/>
      <c r="O9" s="29" t="s">
        <v>106</v>
      </c>
      <c r="P9" s="217" t="s">
        <v>6</v>
      </c>
      <c r="Q9" s="218"/>
      <c r="R9" s="219"/>
    </row>
    <row r="10" spans="5:20" ht="24.9" customHeight="1" x14ac:dyDescent="0.3">
      <c r="E10" s="215" t="s">
        <v>37</v>
      </c>
      <c r="F10" s="215"/>
      <c r="G10" s="215"/>
      <c r="H10" s="220" t="s">
        <v>95</v>
      </c>
      <c r="I10" s="220"/>
      <c r="J10" s="220"/>
      <c r="K10" s="220"/>
      <c r="L10" s="220"/>
      <c r="M10" s="220"/>
      <c r="N10" s="220"/>
      <c r="O10" s="29" t="s">
        <v>106</v>
      </c>
      <c r="P10" s="221" t="s">
        <v>18</v>
      </c>
      <c r="Q10" s="222"/>
      <c r="R10" s="223"/>
    </row>
    <row r="11" spans="5:20" ht="24.9" customHeight="1" x14ac:dyDescent="0.3">
      <c r="E11" s="215" t="s">
        <v>28</v>
      </c>
      <c r="F11" s="215"/>
      <c r="G11" s="215"/>
      <c r="H11" s="224" t="s">
        <v>21</v>
      </c>
      <c r="I11" s="224"/>
      <c r="J11" s="224"/>
      <c r="K11" s="224"/>
      <c r="L11" s="224"/>
      <c r="M11" s="224"/>
      <c r="N11" s="224"/>
      <c r="O11" s="29" t="s">
        <v>106</v>
      </c>
      <c r="P11" s="217" t="s">
        <v>15</v>
      </c>
      <c r="Q11" s="218"/>
      <c r="R11" s="219"/>
    </row>
    <row r="12" spans="5:20" ht="24.9" customHeight="1" x14ac:dyDescent="0.3">
      <c r="E12" s="225" t="s">
        <v>89</v>
      </c>
      <c r="F12" s="225"/>
      <c r="G12" s="225"/>
      <c r="H12" s="224" t="s">
        <v>62</v>
      </c>
      <c r="I12" s="224"/>
      <c r="J12" s="224"/>
      <c r="K12" s="224"/>
      <c r="L12" s="224"/>
      <c r="M12" s="224"/>
      <c r="N12" s="224"/>
      <c r="O12" s="29" t="s">
        <v>106</v>
      </c>
      <c r="P12" s="226" t="s">
        <v>17</v>
      </c>
      <c r="Q12" s="226"/>
      <c r="R12" s="226"/>
    </row>
    <row r="13" spans="5:20" ht="24.9" customHeight="1" x14ac:dyDescent="0.3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8" t="s">
        <v>127</v>
      </c>
      <c r="Q13" s="229"/>
      <c r="R13" s="230"/>
    </row>
    <row r="14" spans="5:20" ht="14" x14ac:dyDescent="0.3">
      <c r="E14" s="227" t="s">
        <v>88</v>
      </c>
      <c r="F14" s="227"/>
      <c r="G14" s="7"/>
      <c r="H14" s="220" t="s">
        <v>49</v>
      </c>
      <c r="I14" s="220"/>
      <c r="J14" s="220"/>
      <c r="K14" s="220"/>
      <c r="L14" s="220"/>
      <c r="M14" s="220"/>
      <c r="N14" s="220"/>
      <c r="O14" s="29"/>
      <c r="P14" s="217"/>
      <c r="Q14" s="218"/>
      <c r="R14" s="219"/>
    </row>
    <row r="15" spans="5:20" ht="14" x14ac:dyDescent="0.3">
      <c r="E15" s="215" t="s">
        <v>29</v>
      </c>
      <c r="F15" s="215"/>
      <c r="G15" s="215"/>
      <c r="H15" s="231" t="s">
        <v>66</v>
      </c>
      <c r="I15" s="231"/>
      <c r="J15" s="231"/>
      <c r="K15" s="231"/>
      <c r="L15" s="231"/>
      <c r="M15" s="231"/>
      <c r="N15" s="231"/>
      <c r="O15" s="29"/>
      <c r="P15" s="232"/>
      <c r="Q15" s="232"/>
      <c r="R15" s="232"/>
      <c r="T15" s="131"/>
    </row>
    <row r="16" spans="5:20" ht="14" x14ac:dyDescent="0.3">
      <c r="E16" s="227" t="s">
        <v>64</v>
      </c>
      <c r="F16" s="227"/>
      <c r="G16" s="7"/>
      <c r="H16" s="231" t="s">
        <v>63</v>
      </c>
      <c r="I16" s="231"/>
      <c r="J16" s="231"/>
      <c r="K16" s="231"/>
      <c r="L16" s="231"/>
      <c r="M16" s="231"/>
      <c r="N16" s="231"/>
      <c r="O16" s="29" t="s">
        <v>40</v>
      </c>
      <c r="P16" s="232"/>
      <c r="Q16" s="232"/>
      <c r="R16" s="232"/>
    </row>
    <row r="17" spans="5:18" ht="14" x14ac:dyDescent="0.3">
      <c r="E17" s="25"/>
      <c r="F17" s="25"/>
      <c r="G17" s="7"/>
      <c r="H17" s="44"/>
      <c r="I17" s="44"/>
      <c r="J17" s="30"/>
      <c r="K17" s="31"/>
      <c r="L17" s="32"/>
      <c r="M17" s="233" t="s">
        <v>22</v>
      </c>
      <c r="N17" s="233"/>
      <c r="O17" s="234"/>
      <c r="P17" s="217"/>
      <c r="Q17" s="218"/>
      <c r="R17" s="219"/>
    </row>
    <row r="18" spans="5:18" ht="15" customHeight="1" x14ac:dyDescent="0.3">
      <c r="E18" s="235" t="s">
        <v>80</v>
      </c>
      <c r="F18" s="236"/>
      <c r="G18" s="236"/>
      <c r="H18" s="236"/>
      <c r="I18" s="236"/>
      <c r="J18" s="237"/>
      <c r="K18" s="236"/>
      <c r="L18" s="236"/>
      <c r="M18" s="29"/>
      <c r="N18" s="116" t="s">
        <v>31</v>
      </c>
      <c r="O18" s="33" t="s">
        <v>103</v>
      </c>
      <c r="P18" s="238" t="s">
        <v>14</v>
      </c>
      <c r="Q18" s="239"/>
      <c r="R18" s="240"/>
    </row>
    <row r="19" spans="5:18" ht="14" x14ac:dyDescent="0.3">
      <c r="E19" s="241" t="s">
        <v>76</v>
      </c>
      <c r="F19" s="236"/>
      <c r="G19" s="236"/>
      <c r="H19" s="236"/>
      <c r="I19" s="236"/>
      <c r="J19" s="237"/>
      <c r="K19" s="236"/>
      <c r="L19" s="236"/>
      <c r="M19" s="233"/>
      <c r="N19" s="234"/>
      <c r="O19" s="34" t="s">
        <v>101</v>
      </c>
      <c r="P19" s="242" t="s">
        <v>10</v>
      </c>
      <c r="Q19" s="243"/>
      <c r="R19" s="244"/>
    </row>
    <row r="20" spans="5:18" ht="14" x14ac:dyDescent="0.3">
      <c r="E20" s="37" t="s">
        <v>82</v>
      </c>
      <c r="F20" s="37"/>
      <c r="G20" s="37"/>
      <c r="H20" s="37"/>
      <c r="I20" s="104"/>
      <c r="J20" s="200" t="s">
        <v>0</v>
      </c>
      <c r="K20" s="37"/>
      <c r="L20" s="37"/>
      <c r="M20" s="29"/>
      <c r="N20" s="116" t="s">
        <v>32</v>
      </c>
      <c r="O20" s="33" t="s">
        <v>103</v>
      </c>
      <c r="P20" s="212"/>
      <c r="Q20" s="213"/>
      <c r="R20" s="214"/>
    </row>
    <row r="21" spans="5:18" ht="14" x14ac:dyDescent="0.3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5"/>
      <c r="Q21" s="246"/>
      <c r="R21" s="247"/>
    </row>
    <row r="22" spans="5:18" ht="14" x14ac:dyDescent="0.3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2" t="s">
        <v>77</v>
      </c>
      <c r="Q22" s="213"/>
      <c r="R22" s="214"/>
    </row>
    <row r="23" spans="5:18" ht="14" x14ac:dyDescent="0.3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4" hidden="1" x14ac:dyDescent="0.3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4" hidden="1" x14ac:dyDescent="0.3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4" hidden="1" x14ac:dyDescent="0.3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4" hidden="1" x14ac:dyDescent="0.3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4" hidden="1" x14ac:dyDescent="0.3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4" hidden="1" x14ac:dyDescent="0.3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4" hidden="1" x14ac:dyDescent="0.3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4" hidden="1" x14ac:dyDescent="0.3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4" hidden="1" x14ac:dyDescent="0.3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4" hidden="1" x14ac:dyDescent="0.3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4" hidden="1" x14ac:dyDescent="0.3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4" hidden="1" x14ac:dyDescent="0.3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4" hidden="1" x14ac:dyDescent="0.3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4" hidden="1" x14ac:dyDescent="0.3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4" hidden="1" x14ac:dyDescent="0.3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4" hidden="1" x14ac:dyDescent="0.3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4" hidden="1" x14ac:dyDescent="0.3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4" hidden="1" x14ac:dyDescent="0.3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4" hidden="1" x14ac:dyDescent="0.3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4" hidden="1" x14ac:dyDescent="0.3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4" hidden="1" x14ac:dyDescent="0.3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4" hidden="1" x14ac:dyDescent="0.3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4" x14ac:dyDescent="0.3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3">
      <c r="E47" s="25"/>
      <c r="F47" s="40"/>
      <c r="G47" s="7"/>
      <c r="H47" s="43"/>
      <c r="I47" s="43"/>
      <c r="J47" s="250" t="s">
        <v>60</v>
      </c>
      <c r="K47" s="251"/>
      <c r="L47" s="251"/>
      <c r="M47" s="252"/>
      <c r="N47" s="256" t="s">
        <v>30</v>
      </c>
      <c r="O47" s="248" t="s">
        <v>67</v>
      </c>
      <c r="P47" s="249"/>
      <c r="Q47" s="38"/>
      <c r="R47" s="39"/>
    </row>
    <row r="48" spans="5:18" ht="14" x14ac:dyDescent="0.3">
      <c r="E48" s="25"/>
      <c r="F48" s="25"/>
      <c r="G48" s="7"/>
      <c r="H48" s="43"/>
      <c r="I48" s="43"/>
      <c r="J48" s="253"/>
      <c r="K48" s="254"/>
      <c r="L48" s="254"/>
      <c r="M48" s="255"/>
      <c r="N48" s="257"/>
      <c r="O48" s="24" t="s">
        <v>108</v>
      </c>
      <c r="P48" s="47" t="s">
        <v>105</v>
      </c>
      <c r="Q48" s="38"/>
      <c r="R48" s="39"/>
    </row>
    <row r="49" spans="5:22" ht="15" customHeight="1" x14ac:dyDescent="0.3">
      <c r="E49" s="25"/>
      <c r="F49" s="25"/>
      <c r="G49" s="7"/>
      <c r="H49" s="43"/>
      <c r="I49" s="43"/>
      <c r="J49" s="258" t="s">
        <v>3</v>
      </c>
      <c r="K49" s="259"/>
      <c r="L49" s="259"/>
      <c r="M49" s="26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4" x14ac:dyDescent="0.3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3">
      <c r="E51" s="261" t="s">
        <v>19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</row>
    <row r="52" spans="5:22" ht="14.25" customHeight="1" x14ac:dyDescent="0.3">
      <c r="E52" s="261" t="s">
        <v>61</v>
      </c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</row>
    <row r="53" spans="5:22" ht="13.5" customHeight="1" x14ac:dyDescent="0.3"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</row>
    <row r="54" spans="5:22" x14ac:dyDescent="0.3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4" x14ac:dyDescent="0.3">
      <c r="E55" s="263" t="s">
        <v>59</v>
      </c>
      <c r="F55" s="263"/>
      <c r="G55" s="264" t="s">
        <v>98</v>
      </c>
      <c r="H55" s="265" t="s">
        <v>56</v>
      </c>
      <c r="I55" s="266" t="s">
        <v>68</v>
      </c>
      <c r="J55" s="264" t="s">
        <v>33</v>
      </c>
      <c r="K55" s="264" t="s">
        <v>47</v>
      </c>
      <c r="L55" s="268" t="s">
        <v>97</v>
      </c>
      <c r="M55" s="264" t="s">
        <v>69</v>
      </c>
      <c r="N55" s="269" t="s">
        <v>84</v>
      </c>
      <c r="O55" s="264" t="s">
        <v>73</v>
      </c>
      <c r="P55" s="270" t="s">
        <v>48</v>
      </c>
      <c r="Q55" s="269" t="s">
        <v>83</v>
      </c>
      <c r="R55" s="268" t="s">
        <v>35</v>
      </c>
    </row>
    <row r="56" spans="5:22" ht="42" x14ac:dyDescent="0.3">
      <c r="E56" s="46" t="s">
        <v>109</v>
      </c>
      <c r="F56" s="10" t="s">
        <v>107</v>
      </c>
      <c r="G56" s="264"/>
      <c r="H56" s="265"/>
      <c r="I56" s="267"/>
      <c r="J56" s="264"/>
      <c r="K56" s="264"/>
      <c r="L56" s="268"/>
      <c r="M56" s="264"/>
      <c r="N56" s="269"/>
      <c r="O56" s="264"/>
      <c r="P56" s="271"/>
      <c r="Q56" s="269"/>
      <c r="R56" s="268"/>
    </row>
    <row r="57" spans="5:22" ht="14" x14ac:dyDescent="0.3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3">
      <c r="I58" s="50"/>
      <c r="K58" s="13"/>
      <c r="M58" s="13"/>
      <c r="O58" s="13"/>
      <c r="P58" s="13"/>
      <c r="Q58" s="16"/>
      <c r="R58" s="15"/>
    </row>
    <row r="59" spans="5:22" ht="14" x14ac:dyDescent="0.3">
      <c r="E59" s="272" t="s">
        <v>75</v>
      </c>
      <c r="F59" s="273"/>
      <c r="G59" s="274"/>
      <c r="H59" s="275"/>
      <c r="I59" s="275"/>
      <c r="J59" s="276"/>
      <c r="K59" s="277"/>
      <c r="L59" s="278"/>
      <c r="M59" s="277"/>
      <c r="N59" s="279"/>
      <c r="O59" s="277"/>
      <c r="P59" s="277"/>
      <c r="Q59" s="280"/>
      <c r="R59" s="281"/>
    </row>
    <row r="62" spans="5:22" ht="14" x14ac:dyDescent="0.3">
      <c r="E62" s="272" t="s">
        <v>74</v>
      </c>
      <c r="F62" s="273"/>
      <c r="G62" s="274"/>
      <c r="H62" s="275"/>
      <c r="I62" s="275"/>
      <c r="J62" s="276"/>
      <c r="K62" s="277"/>
      <c r="L62" s="278"/>
      <c r="M62" s="277"/>
      <c r="N62" s="279"/>
      <c r="O62" s="277"/>
      <c r="P62" s="277"/>
      <c r="Q62" s="280"/>
      <c r="R62" s="281"/>
    </row>
    <row r="64" spans="5:22" ht="39" x14ac:dyDescent="0.3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3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3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3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3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3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3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3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3">
      <c r="N72" s="51">
        <v>4861993</v>
      </c>
      <c r="Q72" s="51">
        <v>46381099</v>
      </c>
      <c r="R72" s="52">
        <v>30872.84</v>
      </c>
    </row>
    <row r="73" spans="5:18" ht="52" x14ac:dyDescent="0.3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3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3">
      <c r="N75" s="51">
        <v>-253601</v>
      </c>
      <c r="Q75" s="51">
        <v>-2378775</v>
      </c>
      <c r="R75" s="52">
        <v>0</v>
      </c>
    </row>
    <row r="76" spans="5:18" ht="143" x14ac:dyDescent="0.3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3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3">
      <c r="N78" s="51">
        <v>596819</v>
      </c>
      <c r="Q78" s="51">
        <v>3867389</v>
      </c>
      <c r="R78" s="52">
        <v>0</v>
      </c>
    </row>
    <row r="80" spans="5:18" x14ac:dyDescent="0.3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3">
      <c r="H81" s="123" t="s">
        <v>72</v>
      </c>
      <c r="N81" s="54">
        <v>4534433</v>
      </c>
      <c r="Q81" s="54">
        <v>26798220</v>
      </c>
    </row>
    <row r="82" spans="5:18" x14ac:dyDescent="0.3">
      <c r="G82" s="103"/>
      <c r="H82" s="125" t="s">
        <v>86</v>
      </c>
      <c r="N82" s="54">
        <v>975202</v>
      </c>
      <c r="Q82" s="54">
        <v>6158979</v>
      </c>
    </row>
    <row r="83" spans="5:18" x14ac:dyDescent="0.3">
      <c r="G83" s="103"/>
      <c r="H83" s="56" t="s">
        <v>99</v>
      </c>
      <c r="N83" s="54">
        <v>3221482</v>
      </c>
      <c r="Q83" s="54">
        <v>8730216</v>
      </c>
    </row>
    <row r="84" spans="5:18" x14ac:dyDescent="0.3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3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3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3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3">
      <c r="G88" s="103"/>
      <c r="H88" s="56" t="s">
        <v>34</v>
      </c>
      <c r="N88" s="54">
        <v>56826</v>
      </c>
      <c r="Q88" s="54">
        <v>2003692</v>
      </c>
    </row>
    <row r="89" spans="5:18" x14ac:dyDescent="0.3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5" x14ac:dyDescent="0.35">
      <c r="G90" s="103"/>
      <c r="H90" s="60" t="s">
        <v>92</v>
      </c>
      <c r="N90" s="60">
        <v>30873</v>
      </c>
      <c r="Q90" s="120">
        <v>30873</v>
      </c>
    </row>
    <row r="91" spans="5:18" ht="13.5" x14ac:dyDescent="0.35">
      <c r="G91" s="103"/>
      <c r="H91" s="57" t="s">
        <v>91</v>
      </c>
      <c r="N91" s="60">
        <v>4208</v>
      </c>
      <c r="Q91" s="120">
        <v>4208</v>
      </c>
    </row>
    <row r="92" spans="5:18" x14ac:dyDescent="0.3">
      <c r="G92" s="103"/>
      <c r="H92" s="56" t="s">
        <v>57</v>
      </c>
      <c r="N92" s="54">
        <v>414304</v>
      </c>
      <c r="Q92" s="54">
        <v>14608353</v>
      </c>
    </row>
    <row r="93" spans="5:18" x14ac:dyDescent="0.3">
      <c r="G93" s="103"/>
      <c r="H93" s="56" t="s">
        <v>81</v>
      </c>
      <c r="N93" s="54">
        <v>256474</v>
      </c>
      <c r="Q93" s="54">
        <v>6463140</v>
      </c>
    </row>
    <row r="94" spans="5:18" x14ac:dyDescent="0.3">
      <c r="G94" s="103"/>
      <c r="H94" s="57" t="s">
        <v>25</v>
      </c>
      <c r="N94" s="57">
        <v>5205211</v>
      </c>
      <c r="Q94" s="57">
        <v>47869713</v>
      </c>
    </row>
    <row r="95" spans="5:18" x14ac:dyDescent="0.3">
      <c r="G95" s="103"/>
      <c r="H95" s="57" t="s">
        <v>85</v>
      </c>
      <c r="N95" s="119"/>
      <c r="Q95" s="57">
        <v>3867389</v>
      </c>
    </row>
    <row r="96" spans="5:18" x14ac:dyDescent="0.3">
      <c r="G96" s="103"/>
      <c r="H96" s="56" t="s">
        <v>41</v>
      </c>
      <c r="N96" s="57">
        <v>5205211</v>
      </c>
      <c r="Q96" s="121">
        <v>44002324</v>
      </c>
    </row>
    <row r="97" spans="5:18" x14ac:dyDescent="0.3">
      <c r="G97" s="103"/>
      <c r="H97" s="118" t="s">
        <v>43</v>
      </c>
      <c r="Q97" s="105">
        <v>44002324</v>
      </c>
    </row>
    <row r="98" spans="5:18" x14ac:dyDescent="0.3">
      <c r="G98" s="103"/>
      <c r="H98" s="59" t="s">
        <v>71</v>
      </c>
      <c r="N98" s="59">
        <v>208208</v>
      </c>
      <c r="Q98" s="59">
        <v>1760093</v>
      </c>
    </row>
    <row r="99" spans="5:18" x14ac:dyDescent="0.3">
      <c r="G99" s="103"/>
      <c r="H99" s="57" t="s">
        <v>44</v>
      </c>
      <c r="N99" s="57">
        <v>5413419</v>
      </c>
      <c r="Q99" s="57">
        <v>45762417</v>
      </c>
    </row>
    <row r="100" spans="5:18" x14ac:dyDescent="0.3">
      <c r="G100" s="103"/>
      <c r="H100" s="57" t="s">
        <v>26</v>
      </c>
      <c r="N100" s="57">
        <v>5413419</v>
      </c>
      <c r="Q100" s="122"/>
    </row>
    <row r="101" spans="5:18" x14ac:dyDescent="0.3">
      <c r="G101" s="103"/>
      <c r="H101" s="57" t="s">
        <v>27</v>
      </c>
      <c r="N101" s="119"/>
      <c r="Q101" s="57">
        <v>45762417</v>
      </c>
    </row>
    <row r="103" spans="5:18" ht="12.75" customHeight="1" x14ac:dyDescent="0.3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3">
      <c r="E104" s="283" t="s">
        <v>110</v>
      </c>
      <c r="F104" s="283"/>
      <c r="G104" s="283"/>
      <c r="H104" s="82" t="s">
        <v>111</v>
      </c>
      <c r="I104" s="83"/>
      <c r="J104" s="83"/>
      <c r="K104" s="5"/>
      <c r="L104" s="283" t="s">
        <v>122</v>
      </c>
      <c r="M104" s="283"/>
      <c r="N104" s="283"/>
      <c r="O104" s="95"/>
      <c r="P104" s="286" t="s">
        <v>123</v>
      </c>
      <c r="Q104" s="286" t="s">
        <v>112</v>
      </c>
      <c r="R104" s="286"/>
    </row>
    <row r="105" spans="5:18" ht="12.75" customHeight="1" x14ac:dyDescent="0.3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84" t="s">
        <v>52</v>
      </c>
      <c r="M105" s="284"/>
      <c r="N105" s="284" t="s">
        <v>114</v>
      </c>
      <c r="O105" s="284"/>
      <c r="P105" s="287" t="s">
        <v>115</v>
      </c>
      <c r="Q105" s="287"/>
      <c r="R105" s="287"/>
    </row>
    <row r="106" spans="5:18" ht="19.5" customHeight="1" x14ac:dyDescent="0.3">
      <c r="E106" s="86" t="s">
        <v>116</v>
      </c>
      <c r="F106" s="85"/>
      <c r="G106" s="87"/>
      <c r="H106" s="87"/>
      <c r="I106" s="88"/>
      <c r="J106" s="89"/>
      <c r="K106" s="5"/>
      <c r="L106" s="205" t="s">
        <v>124</v>
      </c>
      <c r="M106" s="205"/>
      <c r="N106" s="205"/>
      <c r="O106" s="205"/>
      <c r="P106" s="205"/>
      <c r="Q106" s="205"/>
      <c r="R106" s="205"/>
    </row>
    <row r="107" spans="5:18" x14ac:dyDescent="0.3">
      <c r="E107" s="206"/>
      <c r="F107" s="206"/>
      <c r="G107" s="206"/>
      <c r="H107" s="83"/>
      <c r="I107" s="89"/>
      <c r="J107" s="89"/>
      <c r="K107" s="5"/>
      <c r="L107" s="285" t="s">
        <v>24</v>
      </c>
      <c r="M107" s="285"/>
      <c r="N107" s="285"/>
      <c r="O107" s="89"/>
      <c r="P107" s="89"/>
      <c r="Q107" s="89"/>
      <c r="R107" s="89"/>
    </row>
    <row r="108" spans="5:18" x14ac:dyDescent="0.3">
      <c r="E108" s="282"/>
      <c r="F108" s="282"/>
      <c r="G108" s="282"/>
      <c r="H108" s="89"/>
      <c r="I108" s="89"/>
      <c r="J108" s="89"/>
      <c r="K108" s="5"/>
      <c r="L108" s="208" t="s">
        <v>117</v>
      </c>
      <c r="M108" s="208"/>
      <c r="N108" s="91"/>
      <c r="O108" s="91"/>
      <c r="P108" s="92"/>
      <c r="Q108" s="209" t="s">
        <v>118</v>
      </c>
      <c r="R108" s="209"/>
    </row>
    <row r="109" spans="5:18" x14ac:dyDescent="0.3">
      <c r="E109" s="207"/>
      <c r="F109" s="207"/>
      <c r="G109" s="207"/>
      <c r="H109" s="90"/>
      <c r="I109" s="89"/>
      <c r="J109" s="89"/>
      <c r="K109" s="5"/>
      <c r="L109" s="210" t="s">
        <v>114</v>
      </c>
      <c r="M109" s="210"/>
      <c r="N109" s="210"/>
      <c r="O109" s="210"/>
      <c r="P109" s="85" t="s">
        <v>115</v>
      </c>
      <c r="Q109" s="85"/>
      <c r="R109" s="85"/>
    </row>
    <row r="110" spans="5:18" x14ac:dyDescent="0.3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3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11" t="s">
        <v>119</v>
      </c>
      <c r="R111" s="211"/>
    </row>
    <row r="112" spans="5:18" x14ac:dyDescent="0.3">
      <c r="E112" s="89"/>
      <c r="F112" s="89"/>
      <c r="G112" s="89"/>
      <c r="H112" s="89"/>
      <c r="I112" s="89"/>
      <c r="J112" s="89"/>
      <c r="K112" s="5"/>
      <c r="L112" s="204" t="s">
        <v>114</v>
      </c>
      <c r="M112" s="204"/>
      <c r="N112" s="204"/>
      <c r="O112" s="204"/>
      <c r="P112" s="85" t="s">
        <v>115</v>
      </c>
      <c r="Q112" s="85"/>
      <c r="R112" s="85"/>
    </row>
    <row r="113" spans="5:18" x14ac:dyDescent="0.3">
      <c r="E113" s="66"/>
      <c r="F113" s="66"/>
      <c r="G113" s="67"/>
      <c r="H113" s="68"/>
      <c r="I113" s="68"/>
      <c r="J113" s="69"/>
      <c r="K113" s="70"/>
      <c r="L113" s="202" t="s">
        <v>120</v>
      </c>
      <c r="M113" s="202"/>
      <c r="N113" s="96"/>
      <c r="O113" s="70"/>
      <c r="P113" s="97"/>
      <c r="Q113" s="98"/>
      <c r="R113" s="99"/>
    </row>
    <row r="114" spans="5:18" x14ac:dyDescent="0.3">
      <c r="E114" s="66"/>
      <c r="F114" s="66"/>
      <c r="G114" s="67"/>
      <c r="H114" s="68"/>
      <c r="I114" s="68"/>
      <c r="J114" s="69"/>
      <c r="K114" s="70"/>
      <c r="L114" s="203"/>
      <c r="M114" s="203"/>
      <c r="N114" s="96"/>
      <c r="O114" s="70"/>
      <c r="P114" s="100"/>
      <c r="Q114" s="101"/>
      <c r="R114" s="102" t="s">
        <v>121</v>
      </c>
    </row>
    <row r="115" spans="5:18" x14ac:dyDescent="0.3">
      <c r="E115" s="66"/>
      <c r="F115" s="66"/>
      <c r="G115" s="67"/>
      <c r="H115" s="68"/>
      <c r="I115" s="68"/>
      <c r="J115" s="69"/>
      <c r="K115" s="70"/>
      <c r="L115" s="204" t="s">
        <v>114</v>
      </c>
      <c r="M115" s="204"/>
      <c r="N115" s="204"/>
      <c r="O115" s="204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ColWidth="8.90625" defaultRowHeight="14.5" x14ac:dyDescent="0.35"/>
  <cols>
    <col min="1" max="1" width="8.90625" style="191"/>
    <col min="2" max="3" width="8.90625" style="191" hidden="1" customWidth="1"/>
    <col min="4" max="4" width="10.90625" style="192" customWidth="1"/>
    <col min="5" max="5" width="8.90625" style="192"/>
    <col min="6" max="6" width="12.36328125" style="193" customWidth="1"/>
    <col min="7" max="16384" width="8.90625" style="191"/>
  </cols>
  <sheetData>
    <row r="1" spans="1:6" s="192" customFormat="1" ht="45" customHeight="1" x14ac:dyDescent="0.35">
      <c r="B1" s="198"/>
      <c r="C1" s="198"/>
      <c r="D1" s="198" t="s">
        <v>174</v>
      </c>
      <c r="E1" s="198" t="s">
        <v>173</v>
      </c>
      <c r="F1" s="199"/>
    </row>
    <row r="2" spans="1:6" x14ac:dyDescent="0.35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5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5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5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5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5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5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5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5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5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5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5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5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5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5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5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5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ColWidth="8.90625" defaultRowHeight="14.5" x14ac:dyDescent="0.35"/>
  <cols>
    <col min="1" max="1" width="67.36328125" style="150" customWidth="1"/>
    <col min="2" max="2" width="16.6328125" style="127" customWidth="1"/>
    <col min="3" max="3" width="67.36328125" style="150" customWidth="1"/>
    <col min="4" max="4" width="8.7265625" customWidth="1"/>
    <col min="5" max="16384" width="8.90625" style="127"/>
  </cols>
  <sheetData>
    <row r="1" spans="1:4" x14ac:dyDescent="0.35">
      <c r="A1" s="150" t="s">
        <v>165</v>
      </c>
    </row>
    <row r="2" spans="1:4" x14ac:dyDescent="0.35">
      <c r="A2" s="183" t="s">
        <v>168</v>
      </c>
      <c r="B2" s="127" t="s">
        <v>166</v>
      </c>
    </row>
    <row r="3" spans="1:4" x14ac:dyDescent="0.35">
      <c r="A3" s="183" t="s">
        <v>169</v>
      </c>
      <c r="B3" s="127" t="s">
        <v>166</v>
      </c>
    </row>
    <row r="4" spans="1:4" x14ac:dyDescent="0.35">
      <c r="A4" s="183" t="s">
        <v>172</v>
      </c>
      <c r="B4" s="127" t="s">
        <v>166</v>
      </c>
    </row>
    <row r="5" spans="1:4" x14ac:dyDescent="0.35">
      <c r="A5" s="183" t="s">
        <v>171</v>
      </c>
      <c r="B5" s="127" t="s">
        <v>166</v>
      </c>
    </row>
    <row r="6" spans="1:4" x14ac:dyDescent="0.35">
      <c r="A6" s="183"/>
    </row>
    <row r="7" spans="1:4" ht="43.5" x14ac:dyDescent="0.35">
      <c r="A7" s="150" t="s">
        <v>150</v>
      </c>
      <c r="B7" s="127" t="s">
        <v>152</v>
      </c>
      <c r="C7" s="150" t="s">
        <v>149</v>
      </c>
      <c r="D7" s="127"/>
    </row>
    <row r="8" spans="1:4" x14ac:dyDescent="0.35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opLeftCell="A4" workbookViewId="0">
      <selection activeCell="C13" sqref="C13"/>
    </sheetView>
  </sheetViews>
  <sheetFormatPr defaultColWidth="8.90625" defaultRowHeight="14.5" x14ac:dyDescent="0.35"/>
  <cols>
    <col min="1" max="1" width="14.90625" style="127" customWidth="1"/>
    <col min="2" max="2" width="108.08984375" style="127" customWidth="1"/>
    <col min="3" max="3" width="14.08984375" style="151" customWidth="1"/>
    <col min="4" max="16384" width="8.90625" style="127"/>
  </cols>
  <sheetData>
    <row r="1" spans="1:3" s="133" customFormat="1" ht="29" x14ac:dyDescent="0.35">
      <c r="A1" s="167" t="s">
        <v>153</v>
      </c>
      <c r="B1" s="167" t="s">
        <v>143</v>
      </c>
      <c r="C1" s="168" t="s">
        <v>157</v>
      </c>
    </row>
    <row r="2" spans="1:3" x14ac:dyDescent="0.35">
      <c r="A2" s="169" t="s">
        <v>128</v>
      </c>
      <c r="B2" s="170" t="s">
        <v>135</v>
      </c>
      <c r="C2" s="171"/>
    </row>
    <row r="3" spans="1:3" x14ac:dyDescent="0.35">
      <c r="A3" s="169" t="s">
        <v>130</v>
      </c>
      <c r="B3" s="170" t="s">
        <v>137</v>
      </c>
      <c r="C3" s="171"/>
    </row>
    <row r="4" spans="1:3" x14ac:dyDescent="0.35">
      <c r="A4" s="169" t="s">
        <v>133</v>
      </c>
      <c r="B4" s="170" t="s">
        <v>154</v>
      </c>
      <c r="C4" s="171"/>
    </row>
    <row r="5" spans="1:3" x14ac:dyDescent="0.35">
      <c r="A5" s="169" t="s">
        <v>132</v>
      </c>
      <c r="B5" s="170" t="s">
        <v>136</v>
      </c>
      <c r="C5" s="171">
        <v>252</v>
      </c>
    </row>
    <row r="6" spans="1:3" s="128" customFormat="1" x14ac:dyDescent="0.35">
      <c r="A6" s="169" t="s">
        <v>140</v>
      </c>
      <c r="B6" s="170" t="s">
        <v>138</v>
      </c>
      <c r="C6" s="172">
        <v>252</v>
      </c>
    </row>
    <row r="7" spans="1:3" s="128" customFormat="1" x14ac:dyDescent="0.35">
      <c r="A7" s="169" t="s">
        <v>134</v>
      </c>
      <c r="B7" s="170" t="s">
        <v>139</v>
      </c>
      <c r="C7" s="172">
        <v>257</v>
      </c>
    </row>
    <row r="8" spans="1:3" x14ac:dyDescent="0.35">
      <c r="A8" s="169" t="s">
        <v>148</v>
      </c>
      <c r="B8" s="170" t="s">
        <v>145</v>
      </c>
      <c r="C8" s="171">
        <v>381</v>
      </c>
    </row>
    <row r="9" spans="1:3" x14ac:dyDescent="0.35">
      <c r="A9" s="169" t="s">
        <v>147</v>
      </c>
      <c r="B9" s="170" t="s">
        <v>146</v>
      </c>
      <c r="C9" s="171">
        <v>381</v>
      </c>
    </row>
    <row r="10" spans="1:3" ht="82.25" customHeight="1" x14ac:dyDescent="0.35">
      <c r="A10" s="169" t="s">
        <v>162</v>
      </c>
      <c r="B10" s="173" t="s">
        <v>158</v>
      </c>
      <c r="C10" s="171">
        <v>533</v>
      </c>
    </row>
    <row r="11" spans="1:3" x14ac:dyDescent="0.35">
      <c r="A11" s="169" t="s">
        <v>175</v>
      </c>
      <c r="B11" s="173" t="s">
        <v>170</v>
      </c>
      <c r="C11" s="171">
        <v>734</v>
      </c>
    </row>
    <row r="12" spans="1:3" x14ac:dyDescent="0.35">
      <c r="A12" s="201" t="s">
        <v>176</v>
      </c>
      <c r="B12" s="170" t="s">
        <v>155</v>
      </c>
      <c r="C12" s="171">
        <v>1190</v>
      </c>
    </row>
    <row r="13" spans="1:3" x14ac:dyDescent="0.35">
      <c r="A13" s="174" t="s">
        <v>160</v>
      </c>
      <c r="B13" s="170" t="s">
        <v>142</v>
      </c>
      <c r="C13" s="171"/>
    </row>
    <row r="14" spans="1:3" x14ac:dyDescent="0.35">
      <c r="A14" s="174" t="s">
        <v>160</v>
      </c>
      <c r="B14" s="170" t="s">
        <v>141</v>
      </c>
      <c r="C14" s="171"/>
    </row>
    <row r="15" spans="1:3" x14ac:dyDescent="0.35">
      <c r="A15" s="174" t="s">
        <v>160</v>
      </c>
      <c r="B15" s="170" t="s">
        <v>156</v>
      </c>
      <c r="C15" s="171"/>
    </row>
    <row r="17" spans="1:2" x14ac:dyDescent="0.35">
      <c r="B17" s="132" t="s">
        <v>131</v>
      </c>
    </row>
    <row r="18" spans="1:2" x14ac:dyDescent="0.35">
      <c r="A18" s="174" t="s">
        <v>160</v>
      </c>
      <c r="B18" s="174" t="s">
        <v>159</v>
      </c>
    </row>
    <row r="19" spans="1:2" x14ac:dyDescent="0.35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3"/>
  <sheetViews>
    <sheetView tabSelected="1" topLeftCell="A4" workbookViewId="0">
      <selection activeCell="B23" sqref="B23"/>
    </sheetView>
  </sheetViews>
  <sheetFormatPr defaultRowHeight="14.5" x14ac:dyDescent="0.35"/>
  <cols>
    <col min="2" max="2" width="8.90625" style="195"/>
  </cols>
  <sheetData>
    <row r="7" spans="1:2" x14ac:dyDescent="0.35">
      <c r="A7">
        <v>252</v>
      </c>
      <c r="B7" s="195">
        <f t="shared" ref="B7:B16" si="0">A7/(ROW()-1)</f>
        <v>42</v>
      </c>
    </row>
    <row r="8" spans="1:2" x14ac:dyDescent="0.35">
      <c r="A8">
        <v>252</v>
      </c>
      <c r="B8" s="195">
        <f t="shared" si="0"/>
        <v>36</v>
      </c>
    </row>
    <row r="9" spans="1:2" x14ac:dyDescent="0.35">
      <c r="A9">
        <v>257</v>
      </c>
      <c r="B9" s="195">
        <f t="shared" si="0"/>
        <v>32.125</v>
      </c>
    </row>
    <row r="10" spans="1:2" x14ac:dyDescent="0.35">
      <c r="A10">
        <v>381</v>
      </c>
      <c r="B10" s="195">
        <f t="shared" si="0"/>
        <v>42.333333333333336</v>
      </c>
    </row>
    <row r="12" spans="1:2" x14ac:dyDescent="0.35">
      <c r="A12">
        <v>443</v>
      </c>
      <c r="B12" s="195">
        <f t="shared" si="0"/>
        <v>40.272727272727273</v>
      </c>
    </row>
    <row r="13" spans="1:2" x14ac:dyDescent="0.35">
      <c r="A13">
        <f>60+186+85+123+80</f>
        <v>534</v>
      </c>
      <c r="B13" s="195">
        <f t="shared" si="0"/>
        <v>44.5</v>
      </c>
    </row>
    <row r="14" spans="1:2" x14ac:dyDescent="0.35">
      <c r="A14">
        <f>60+190 +80+81+122</f>
        <v>533</v>
      </c>
      <c r="B14" s="195">
        <f t="shared" si="0"/>
        <v>41</v>
      </c>
    </row>
    <row r="15" spans="1:2" x14ac:dyDescent="0.35">
      <c r="A15">
        <f>136+79+85+143+122</f>
        <v>565</v>
      </c>
      <c r="B15" s="195">
        <f t="shared" si="0"/>
        <v>40.357142857142854</v>
      </c>
    </row>
    <row r="16" spans="1:2" x14ac:dyDescent="0.35">
      <c r="A16">
        <f>150+143+144+122+85</f>
        <v>644</v>
      </c>
      <c r="B16" s="195">
        <f t="shared" si="0"/>
        <v>42.93333333333333</v>
      </c>
    </row>
    <row r="17" spans="1:2" x14ac:dyDescent="0.35">
      <c r="A17">
        <f>148+149+159+85+122</f>
        <v>663</v>
      </c>
      <c r="B17" s="195">
        <f>A17/(ROW()-1)</f>
        <v>41.4375</v>
      </c>
    </row>
    <row r="18" spans="1:2" x14ac:dyDescent="0.35">
      <c r="A18">
        <f>148+149+233+115+89</f>
        <v>734</v>
      </c>
      <c r="B18" s="195">
        <f t="shared" ref="B18:B23" si="1">A18/(ROW()-1)</f>
        <v>43.176470588235297</v>
      </c>
    </row>
    <row r="19" spans="1:2" x14ac:dyDescent="0.35">
      <c r="A19">
        <f>148+156+304+115+84</f>
        <v>807</v>
      </c>
      <c r="B19" s="195">
        <f t="shared" si="1"/>
        <v>44.833333333333336</v>
      </c>
    </row>
    <row r="21" spans="1:2" x14ac:dyDescent="0.35">
      <c r="A21">
        <f>148+153+303+115+84</f>
        <v>803</v>
      </c>
      <c r="B21" s="195">
        <f t="shared" si="1"/>
        <v>40.15</v>
      </c>
    </row>
    <row r="23" spans="1:2" x14ac:dyDescent="0.35">
      <c r="A23">
        <f>176+153+638+88+115+20</f>
        <v>1190</v>
      </c>
      <c r="B23" s="195">
        <f t="shared" si="1"/>
        <v>54.090909090909093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08984375" defaultRowHeight="13" x14ac:dyDescent="0.3"/>
  <cols>
    <col min="1" max="4" width="9.08984375" style="5"/>
    <col min="5" max="5" width="12.6328125" style="152" customWidth="1"/>
    <col min="6" max="6" width="6.54296875" style="152" customWidth="1"/>
    <col min="7" max="7" width="21.08984375" style="153" customWidth="1"/>
    <col min="8" max="8" width="46.6328125" style="154" customWidth="1"/>
    <col min="9" max="9" width="18.6328125" style="154" customWidth="1"/>
    <col min="10" max="10" width="14" style="155" customWidth="1"/>
    <col min="11" max="11" width="14.54296875" style="156" customWidth="1"/>
    <col min="12" max="12" width="14.6328125" style="157" customWidth="1"/>
    <col min="13" max="13" width="14" style="156" customWidth="1"/>
    <col min="14" max="14" width="15.08984375" style="158" customWidth="1"/>
    <col min="15" max="15" width="17.6328125" style="156" customWidth="1"/>
    <col min="16" max="16" width="12.36328125" style="156" customWidth="1"/>
    <col min="17" max="17" width="13.90625" style="159" customWidth="1"/>
    <col min="18" max="18" width="14.6328125" style="160" customWidth="1"/>
    <col min="19" max="19" width="9.08984375" style="5"/>
    <col min="20" max="20" width="24.1796875" style="126" customWidth="1"/>
    <col min="21" max="21" width="15" style="126" customWidth="1"/>
    <col min="22" max="22" width="11.6328125" style="126" customWidth="1"/>
    <col min="23" max="16384" width="9.08984375" style="5"/>
  </cols>
  <sheetData>
    <row r="6" spans="5:20" ht="14" x14ac:dyDescent="0.3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2" t="s">
        <v>46</v>
      </c>
      <c r="Q6" s="213"/>
      <c r="R6" s="214"/>
    </row>
    <row r="7" spans="5:20" ht="14" x14ac:dyDescent="0.3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2" t="s">
        <v>4</v>
      </c>
      <c r="Q7" s="213"/>
      <c r="R7" s="214"/>
    </row>
    <row r="8" spans="5:20" ht="14" x14ac:dyDescent="0.3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2"/>
      <c r="Q8" s="213"/>
      <c r="R8" s="214"/>
    </row>
    <row r="9" spans="5:20" ht="15" customHeight="1" x14ac:dyDescent="0.3">
      <c r="E9" s="215" t="s">
        <v>36</v>
      </c>
      <c r="F9" s="215"/>
      <c r="G9" s="215"/>
      <c r="H9" s="216" t="s">
        <v>20</v>
      </c>
      <c r="I9" s="216"/>
      <c r="J9" s="216"/>
      <c r="K9" s="216"/>
      <c r="L9" s="216"/>
      <c r="M9" s="216"/>
      <c r="N9" s="216"/>
      <c r="O9" s="162" t="s">
        <v>106</v>
      </c>
      <c r="P9" s="217" t="s">
        <v>6</v>
      </c>
      <c r="Q9" s="218"/>
      <c r="R9" s="219"/>
    </row>
    <row r="10" spans="5:20" ht="24.9" customHeight="1" x14ac:dyDescent="0.3">
      <c r="E10" s="215" t="s">
        <v>37</v>
      </c>
      <c r="F10" s="215"/>
      <c r="G10" s="215"/>
      <c r="H10" s="220" t="s">
        <v>95</v>
      </c>
      <c r="I10" s="220"/>
      <c r="J10" s="220"/>
      <c r="K10" s="220"/>
      <c r="L10" s="220"/>
      <c r="M10" s="220"/>
      <c r="N10" s="220"/>
      <c r="O10" s="162" t="s">
        <v>106</v>
      </c>
      <c r="P10" s="221" t="s">
        <v>18</v>
      </c>
      <c r="Q10" s="222"/>
      <c r="R10" s="223"/>
    </row>
    <row r="11" spans="5:20" ht="24.9" customHeight="1" x14ac:dyDescent="0.3">
      <c r="E11" s="215" t="s">
        <v>28</v>
      </c>
      <c r="F11" s="215"/>
      <c r="G11" s="215"/>
      <c r="H11" s="224" t="s">
        <v>21</v>
      </c>
      <c r="I11" s="224"/>
      <c r="J11" s="224"/>
      <c r="K11" s="224"/>
      <c r="L11" s="224"/>
      <c r="M11" s="224"/>
      <c r="N11" s="224"/>
      <c r="O11" s="162" t="s">
        <v>106</v>
      </c>
      <c r="P11" s="217" t="s">
        <v>15</v>
      </c>
      <c r="Q11" s="218"/>
      <c r="R11" s="219"/>
    </row>
    <row r="12" spans="5:20" ht="24.9" customHeight="1" x14ac:dyDescent="0.3">
      <c r="E12" s="225" t="s">
        <v>89</v>
      </c>
      <c r="F12" s="225"/>
      <c r="G12" s="225"/>
      <c r="H12" s="224" t="s">
        <v>62</v>
      </c>
      <c r="I12" s="224"/>
      <c r="J12" s="224"/>
      <c r="K12" s="224"/>
      <c r="L12" s="224"/>
      <c r="M12" s="224"/>
      <c r="N12" s="224"/>
      <c r="O12" s="162" t="s">
        <v>106</v>
      </c>
      <c r="P12" s="226" t="s">
        <v>17</v>
      </c>
      <c r="Q12" s="226"/>
      <c r="R12" s="226"/>
    </row>
    <row r="13" spans="5:20" ht="24.9" customHeight="1" x14ac:dyDescent="0.3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8" t="s">
        <v>127</v>
      </c>
      <c r="Q13" s="229"/>
      <c r="R13" s="230"/>
    </row>
    <row r="14" spans="5:20" ht="14" x14ac:dyDescent="0.3">
      <c r="E14" s="288" t="s">
        <v>88</v>
      </c>
      <c r="F14" s="288"/>
      <c r="G14" s="7"/>
      <c r="H14" s="220" t="s">
        <v>49</v>
      </c>
      <c r="I14" s="220"/>
      <c r="J14" s="220"/>
      <c r="K14" s="220"/>
      <c r="L14" s="220"/>
      <c r="M14" s="220"/>
      <c r="N14" s="220"/>
      <c r="O14" s="162"/>
      <c r="P14" s="217"/>
      <c r="Q14" s="218"/>
      <c r="R14" s="219"/>
    </row>
    <row r="15" spans="5:20" ht="14" x14ac:dyDescent="0.3">
      <c r="E15" s="215" t="s">
        <v>29</v>
      </c>
      <c r="F15" s="215"/>
      <c r="G15" s="215"/>
      <c r="H15" s="231" t="s">
        <v>66</v>
      </c>
      <c r="I15" s="231"/>
      <c r="J15" s="231"/>
      <c r="K15" s="231"/>
      <c r="L15" s="231"/>
      <c r="M15" s="231"/>
      <c r="N15" s="231"/>
      <c r="O15" s="162"/>
      <c r="P15" s="232"/>
      <c r="Q15" s="232"/>
      <c r="R15" s="232"/>
      <c r="T15" s="131"/>
    </row>
    <row r="16" spans="5:20" ht="14" x14ac:dyDescent="0.3">
      <c r="E16" s="288" t="s">
        <v>64</v>
      </c>
      <c r="F16" s="288"/>
      <c r="G16" s="7"/>
      <c r="H16" s="231" t="s">
        <v>63</v>
      </c>
      <c r="I16" s="231"/>
      <c r="J16" s="231"/>
      <c r="K16" s="231"/>
      <c r="L16" s="231"/>
      <c r="M16" s="231"/>
      <c r="N16" s="231"/>
      <c r="O16" s="162" t="s">
        <v>40</v>
      </c>
      <c r="P16" s="232"/>
      <c r="Q16" s="232"/>
      <c r="R16" s="232"/>
    </row>
    <row r="17" spans="5:18" ht="14" x14ac:dyDescent="0.3">
      <c r="E17" s="25"/>
      <c r="F17" s="25"/>
      <c r="G17" s="7"/>
      <c r="H17" s="44"/>
      <c r="I17" s="44"/>
      <c r="J17" s="30"/>
      <c r="K17" s="31"/>
      <c r="L17" s="32"/>
      <c r="M17" s="233" t="s">
        <v>22</v>
      </c>
      <c r="N17" s="233"/>
      <c r="O17" s="234"/>
      <c r="P17" s="217"/>
      <c r="Q17" s="218"/>
      <c r="R17" s="219"/>
    </row>
    <row r="18" spans="5:18" ht="15" customHeight="1" x14ac:dyDescent="0.3">
      <c r="E18" s="235" t="s">
        <v>80</v>
      </c>
      <c r="F18" s="236"/>
      <c r="G18" s="236"/>
      <c r="H18" s="236"/>
      <c r="I18" s="236"/>
      <c r="J18" s="237"/>
      <c r="K18" s="236"/>
      <c r="L18" s="236"/>
      <c r="M18" s="162"/>
      <c r="N18" s="124" t="s">
        <v>31</v>
      </c>
      <c r="O18" s="33" t="s">
        <v>103</v>
      </c>
      <c r="P18" s="238" t="s">
        <v>14</v>
      </c>
      <c r="Q18" s="239"/>
      <c r="R18" s="240"/>
    </row>
    <row r="19" spans="5:18" ht="14" x14ac:dyDescent="0.3">
      <c r="E19" s="241" t="s">
        <v>76</v>
      </c>
      <c r="F19" s="236"/>
      <c r="G19" s="236"/>
      <c r="H19" s="236"/>
      <c r="I19" s="236"/>
      <c r="J19" s="237"/>
      <c r="K19" s="236"/>
      <c r="L19" s="236"/>
      <c r="M19" s="233"/>
      <c r="N19" s="234"/>
      <c r="O19" s="34" t="s">
        <v>101</v>
      </c>
      <c r="P19" s="242" t="s">
        <v>10</v>
      </c>
      <c r="Q19" s="243"/>
      <c r="R19" s="244"/>
    </row>
    <row r="20" spans="5:18" ht="14" x14ac:dyDescent="0.3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2"/>
      <c r="Q20" s="213"/>
      <c r="R20" s="214"/>
    </row>
    <row r="21" spans="5:18" ht="14" x14ac:dyDescent="0.3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5"/>
      <c r="Q21" s="246"/>
      <c r="R21" s="247"/>
    </row>
    <row r="22" spans="5:18" ht="14" x14ac:dyDescent="0.3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2" t="s">
        <v>77</v>
      </c>
      <c r="Q22" s="213"/>
      <c r="R22" s="214"/>
    </row>
    <row r="23" spans="5:18" ht="14" x14ac:dyDescent="0.3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4" hidden="1" x14ac:dyDescent="0.3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4" hidden="1" x14ac:dyDescent="0.3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4" hidden="1" x14ac:dyDescent="0.3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4" hidden="1" x14ac:dyDescent="0.3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4" hidden="1" x14ac:dyDescent="0.3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4" hidden="1" x14ac:dyDescent="0.3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4" hidden="1" x14ac:dyDescent="0.3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4" hidden="1" x14ac:dyDescent="0.3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4" hidden="1" x14ac:dyDescent="0.3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4" hidden="1" x14ac:dyDescent="0.3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4" hidden="1" x14ac:dyDescent="0.3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4" hidden="1" x14ac:dyDescent="0.3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4" hidden="1" x14ac:dyDescent="0.3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4" hidden="1" x14ac:dyDescent="0.3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4" hidden="1" x14ac:dyDescent="0.3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4" hidden="1" x14ac:dyDescent="0.3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4" hidden="1" x14ac:dyDescent="0.3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4" hidden="1" x14ac:dyDescent="0.3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4" hidden="1" x14ac:dyDescent="0.3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4" hidden="1" x14ac:dyDescent="0.3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4" hidden="1" x14ac:dyDescent="0.3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4" hidden="1" x14ac:dyDescent="0.3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4" x14ac:dyDescent="0.3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3">
      <c r="E47" s="25"/>
      <c r="F47" s="40"/>
      <c r="G47" s="7"/>
      <c r="H47" s="43"/>
      <c r="I47" s="43"/>
      <c r="J47" s="289" t="s">
        <v>60</v>
      </c>
      <c r="K47" s="290"/>
      <c r="L47" s="290"/>
      <c r="M47" s="291"/>
      <c r="N47" s="256" t="s">
        <v>30</v>
      </c>
      <c r="O47" s="248" t="s">
        <v>67</v>
      </c>
      <c r="P47" s="249"/>
      <c r="Q47" s="38"/>
      <c r="R47" s="39"/>
    </row>
    <row r="48" spans="5:18" ht="14" x14ac:dyDescent="0.3">
      <c r="E48" s="25"/>
      <c r="F48" s="25"/>
      <c r="G48" s="7"/>
      <c r="H48" s="43"/>
      <c r="I48" s="43"/>
      <c r="J48" s="292"/>
      <c r="K48" s="293"/>
      <c r="L48" s="293"/>
      <c r="M48" s="294"/>
      <c r="N48" s="257"/>
      <c r="O48" s="24" t="s">
        <v>108</v>
      </c>
      <c r="P48" s="47" t="s">
        <v>105</v>
      </c>
      <c r="Q48" s="38"/>
      <c r="R48" s="39"/>
    </row>
    <row r="49" spans="5:22" ht="15" customHeight="1" x14ac:dyDescent="0.3">
      <c r="E49" s="25"/>
      <c r="F49" s="25"/>
      <c r="G49" s="7"/>
      <c r="H49" s="43"/>
      <c r="I49" s="43"/>
      <c r="J49" s="258" t="s">
        <v>3</v>
      </c>
      <c r="K49" s="259"/>
      <c r="L49" s="259"/>
      <c r="M49" s="26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4" x14ac:dyDescent="0.3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3">
      <c r="E51" s="261" t="s">
        <v>19</v>
      </c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</row>
    <row r="52" spans="5:22" ht="14.25" customHeight="1" x14ac:dyDescent="0.3">
      <c r="E52" s="261" t="s">
        <v>61</v>
      </c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</row>
    <row r="53" spans="5:22" ht="13.5" customHeight="1" x14ac:dyDescent="0.3"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</row>
    <row r="54" spans="5:22" x14ac:dyDescent="0.3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4" x14ac:dyDescent="0.3">
      <c r="E55" s="263" t="s">
        <v>59</v>
      </c>
      <c r="F55" s="263"/>
      <c r="G55" s="264" t="s">
        <v>98</v>
      </c>
      <c r="H55" s="295" t="s">
        <v>56</v>
      </c>
      <c r="I55" s="266" t="s">
        <v>68</v>
      </c>
      <c r="J55" s="264" t="s">
        <v>33</v>
      </c>
      <c r="K55" s="264" t="s">
        <v>47</v>
      </c>
      <c r="L55" s="268" t="s">
        <v>97</v>
      </c>
      <c r="M55" s="264" t="s">
        <v>69</v>
      </c>
      <c r="N55" s="269" t="s">
        <v>84</v>
      </c>
      <c r="O55" s="264" t="s">
        <v>73</v>
      </c>
      <c r="P55" s="270" t="s">
        <v>48</v>
      </c>
      <c r="Q55" s="269" t="s">
        <v>83</v>
      </c>
      <c r="R55" s="268" t="s">
        <v>35</v>
      </c>
    </row>
    <row r="56" spans="5:22" ht="42" x14ac:dyDescent="0.3">
      <c r="E56" s="161" t="s">
        <v>109</v>
      </c>
      <c r="F56" s="10" t="s">
        <v>107</v>
      </c>
      <c r="G56" s="264"/>
      <c r="H56" s="295"/>
      <c r="I56" s="267"/>
      <c r="J56" s="264"/>
      <c r="K56" s="264"/>
      <c r="L56" s="268"/>
      <c r="M56" s="264"/>
      <c r="N56" s="269"/>
      <c r="O56" s="264"/>
      <c r="P56" s="271"/>
      <c r="Q56" s="269"/>
      <c r="R56" s="268"/>
    </row>
    <row r="57" spans="5:22" ht="14" x14ac:dyDescent="0.3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3">
      <c r="I58" s="50"/>
      <c r="K58" s="155"/>
      <c r="M58" s="155"/>
      <c r="O58" s="155"/>
      <c r="P58" s="155"/>
      <c r="Q58" s="158"/>
      <c r="R58" s="157"/>
    </row>
    <row r="59" spans="5:22" ht="14" x14ac:dyDescent="0.3">
      <c r="E59" s="272" t="s">
        <v>75</v>
      </c>
      <c r="F59" s="273"/>
      <c r="G59" s="274"/>
      <c r="H59" s="275"/>
      <c r="I59" s="275"/>
      <c r="J59" s="276"/>
      <c r="K59" s="277"/>
      <c r="L59" s="278"/>
      <c r="M59" s="277"/>
      <c r="N59" s="279"/>
      <c r="O59" s="277"/>
      <c r="P59" s="277"/>
      <c r="Q59" s="280"/>
      <c r="R59" s="281"/>
    </row>
    <row r="62" spans="5:22" ht="14" x14ac:dyDescent="0.3">
      <c r="E62" s="272" t="s">
        <v>74</v>
      </c>
      <c r="F62" s="273"/>
      <c r="G62" s="274"/>
      <c r="H62" s="275"/>
      <c r="I62" s="275"/>
      <c r="J62" s="276"/>
      <c r="K62" s="277"/>
      <c r="L62" s="278"/>
      <c r="M62" s="277"/>
      <c r="N62" s="279"/>
      <c r="O62" s="277"/>
      <c r="P62" s="277"/>
      <c r="Q62" s="280"/>
      <c r="R62" s="281"/>
    </row>
    <row r="64" spans="5:22" ht="39" x14ac:dyDescent="0.3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3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3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3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3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3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3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3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3">
      <c r="N72" s="51">
        <v>4861993</v>
      </c>
      <c r="Q72" s="51">
        <v>46381099</v>
      </c>
      <c r="R72" s="52">
        <v>30872.84</v>
      </c>
    </row>
    <row r="73" spans="5:18" ht="52" x14ac:dyDescent="0.3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3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3">
      <c r="N75" s="51">
        <v>-253601</v>
      </c>
      <c r="Q75" s="51">
        <v>-2378775</v>
      </c>
      <c r="R75" s="52">
        <v>0</v>
      </c>
    </row>
    <row r="76" spans="5:18" ht="143" x14ac:dyDescent="0.3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3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3">
      <c r="N78" s="51">
        <v>596819</v>
      </c>
      <c r="Q78" s="51">
        <v>3867389</v>
      </c>
      <c r="R78" s="52">
        <v>0</v>
      </c>
    </row>
    <row r="80" spans="5:18" x14ac:dyDescent="0.3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3">
      <c r="H81" s="123" t="s">
        <v>72</v>
      </c>
      <c r="N81" s="54">
        <v>4534433</v>
      </c>
      <c r="Q81" s="54">
        <v>26798220</v>
      </c>
    </row>
    <row r="82" spans="8:17" x14ac:dyDescent="0.3">
      <c r="H82" s="125" t="s">
        <v>86</v>
      </c>
      <c r="N82" s="54">
        <v>975202</v>
      </c>
      <c r="Q82" s="54">
        <v>6158979</v>
      </c>
    </row>
    <row r="83" spans="8:17" x14ac:dyDescent="0.3">
      <c r="H83" s="56" t="s">
        <v>99</v>
      </c>
      <c r="N83" s="54">
        <v>3221482</v>
      </c>
      <c r="Q83" s="54">
        <v>8730216</v>
      </c>
    </row>
    <row r="84" spans="8:17" x14ac:dyDescent="0.3">
      <c r="H84" s="56" t="s">
        <v>34</v>
      </c>
      <c r="N84" s="54">
        <v>56826</v>
      </c>
      <c r="Q84" s="54">
        <v>2003692</v>
      </c>
    </row>
    <row r="85" spans="8:17" x14ac:dyDescent="0.3">
      <c r="H85" s="56" t="s">
        <v>65</v>
      </c>
      <c r="N85" s="54">
        <v>337749</v>
      </c>
      <c r="Q85" s="54">
        <v>11909025</v>
      </c>
    </row>
    <row r="86" spans="8:17" ht="13.5" x14ac:dyDescent="0.35">
      <c r="H86" s="60" t="s">
        <v>92</v>
      </c>
      <c r="N86" s="60">
        <v>30873</v>
      </c>
      <c r="Q86" s="120">
        <v>30873</v>
      </c>
    </row>
    <row r="87" spans="8:17" ht="13.5" x14ac:dyDescent="0.35">
      <c r="H87" s="57" t="s">
        <v>91</v>
      </c>
      <c r="N87" s="60">
        <v>4208</v>
      </c>
      <c r="Q87" s="120">
        <v>4208</v>
      </c>
    </row>
    <row r="88" spans="8:17" x14ac:dyDescent="0.3">
      <c r="H88" s="56" t="s">
        <v>57</v>
      </c>
      <c r="N88" s="54">
        <v>414304</v>
      </c>
      <c r="Q88" s="54">
        <v>14608353</v>
      </c>
    </row>
    <row r="89" spans="8:17" x14ac:dyDescent="0.3">
      <c r="H89" s="56" t="s">
        <v>81</v>
      </c>
      <c r="N89" s="54">
        <v>256474</v>
      </c>
      <c r="Q89" s="54">
        <v>6463140</v>
      </c>
    </row>
    <row r="90" spans="8:17" x14ac:dyDescent="0.3">
      <c r="H90" s="57" t="s">
        <v>25</v>
      </c>
      <c r="N90" s="57">
        <v>5205211</v>
      </c>
      <c r="Q90" s="57">
        <v>47869713</v>
      </c>
    </row>
    <row r="91" spans="8:17" x14ac:dyDescent="0.3">
      <c r="H91" s="57" t="s">
        <v>85</v>
      </c>
      <c r="N91" s="119"/>
      <c r="Q91" s="57">
        <v>3867389</v>
      </c>
    </row>
    <row r="92" spans="8:17" x14ac:dyDescent="0.3">
      <c r="H92" s="56" t="s">
        <v>41</v>
      </c>
      <c r="N92" s="57">
        <v>5205211</v>
      </c>
      <c r="Q92" s="121">
        <v>44002324</v>
      </c>
    </row>
    <row r="93" spans="8:17" x14ac:dyDescent="0.3">
      <c r="H93" s="118" t="s">
        <v>43</v>
      </c>
      <c r="Q93" s="105">
        <v>44002324</v>
      </c>
    </row>
    <row r="94" spans="8:17" x14ac:dyDescent="0.3">
      <c r="H94" s="59" t="s">
        <v>71</v>
      </c>
      <c r="N94" s="59">
        <v>208208</v>
      </c>
      <c r="Q94" s="59">
        <v>1760093</v>
      </c>
    </row>
    <row r="95" spans="8:17" x14ac:dyDescent="0.3">
      <c r="H95" s="57" t="s">
        <v>44</v>
      </c>
      <c r="N95" s="57">
        <v>5413419</v>
      </c>
      <c r="Q95" s="57">
        <v>45762417</v>
      </c>
    </row>
    <row r="96" spans="8:17" x14ac:dyDescent="0.3">
      <c r="H96" s="57" t="s">
        <v>26</v>
      </c>
      <c r="N96" s="57">
        <v>5413419</v>
      </c>
      <c r="Q96" s="122"/>
    </row>
    <row r="97" spans="5:18" x14ac:dyDescent="0.3">
      <c r="H97" s="57" t="s">
        <v>27</v>
      </c>
      <c r="N97" s="119"/>
      <c r="Q97" s="57">
        <v>45762417</v>
      </c>
    </row>
    <row r="99" spans="5:18" ht="12.75" customHeight="1" x14ac:dyDescent="0.3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3">
      <c r="E100" s="283" t="s">
        <v>110</v>
      </c>
      <c r="F100" s="283"/>
      <c r="G100" s="283"/>
      <c r="H100" s="166" t="s">
        <v>111</v>
      </c>
      <c r="I100" s="83"/>
      <c r="J100" s="83"/>
      <c r="K100" s="5"/>
      <c r="L100" s="283" t="s">
        <v>122</v>
      </c>
      <c r="M100" s="283"/>
      <c r="N100" s="283"/>
      <c r="O100" s="166"/>
      <c r="P100" s="286" t="s">
        <v>123</v>
      </c>
      <c r="Q100" s="286" t="s">
        <v>112</v>
      </c>
      <c r="R100" s="286"/>
    </row>
    <row r="101" spans="5:18" ht="12.75" customHeight="1" x14ac:dyDescent="0.3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84" t="s">
        <v>52</v>
      </c>
      <c r="M101" s="284"/>
      <c r="N101" s="284" t="s">
        <v>114</v>
      </c>
      <c r="O101" s="284"/>
      <c r="P101" s="287" t="s">
        <v>115</v>
      </c>
      <c r="Q101" s="287"/>
      <c r="R101" s="287"/>
    </row>
    <row r="102" spans="5:18" ht="19.5" customHeight="1" x14ac:dyDescent="0.3">
      <c r="E102" s="86" t="s">
        <v>116</v>
      </c>
      <c r="F102" s="85"/>
      <c r="G102" s="87"/>
      <c r="H102" s="87"/>
      <c r="I102" s="88"/>
      <c r="J102" s="89"/>
      <c r="K102" s="5"/>
      <c r="L102" s="205" t="s">
        <v>124</v>
      </c>
      <c r="M102" s="205"/>
      <c r="N102" s="205"/>
      <c r="O102" s="205"/>
      <c r="P102" s="205"/>
      <c r="Q102" s="205"/>
      <c r="R102" s="205"/>
    </row>
    <row r="103" spans="5:18" x14ac:dyDescent="0.3">
      <c r="E103" s="206"/>
      <c r="F103" s="206"/>
      <c r="G103" s="206"/>
      <c r="H103" s="83"/>
      <c r="I103" s="89"/>
      <c r="J103" s="89"/>
      <c r="K103" s="5"/>
      <c r="L103" s="285" t="s">
        <v>24</v>
      </c>
      <c r="M103" s="285"/>
      <c r="N103" s="285"/>
      <c r="O103" s="89"/>
      <c r="P103" s="89"/>
      <c r="Q103" s="89"/>
      <c r="R103" s="89"/>
    </row>
    <row r="104" spans="5:18" x14ac:dyDescent="0.3">
      <c r="E104" s="282"/>
      <c r="F104" s="282"/>
      <c r="G104" s="282"/>
      <c r="H104" s="89"/>
      <c r="I104" s="89"/>
      <c r="J104" s="89"/>
      <c r="K104" s="5"/>
      <c r="L104" s="208" t="s">
        <v>117</v>
      </c>
      <c r="M104" s="208"/>
      <c r="N104" s="91"/>
      <c r="O104" s="91"/>
      <c r="P104" s="92"/>
      <c r="Q104" s="209" t="s">
        <v>118</v>
      </c>
      <c r="R104" s="209"/>
    </row>
    <row r="105" spans="5:18" x14ac:dyDescent="0.3">
      <c r="E105" s="207"/>
      <c r="F105" s="207"/>
      <c r="G105" s="207"/>
      <c r="H105" s="90"/>
      <c r="I105" s="89"/>
      <c r="J105" s="89"/>
      <c r="K105" s="5"/>
      <c r="L105" s="210" t="s">
        <v>114</v>
      </c>
      <c r="M105" s="210"/>
      <c r="N105" s="210"/>
      <c r="O105" s="210"/>
      <c r="P105" s="85" t="s">
        <v>115</v>
      </c>
      <c r="Q105" s="85"/>
      <c r="R105" s="85"/>
    </row>
    <row r="106" spans="5:18" x14ac:dyDescent="0.3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3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11" t="s">
        <v>119</v>
      </c>
      <c r="R107" s="211"/>
    </row>
    <row r="108" spans="5:18" x14ac:dyDescent="0.3">
      <c r="E108" s="89"/>
      <c r="F108" s="89"/>
      <c r="G108" s="89"/>
      <c r="H108" s="89"/>
      <c r="I108" s="89"/>
      <c r="J108" s="89"/>
      <c r="K108" s="5"/>
      <c r="L108" s="204" t="s">
        <v>114</v>
      </c>
      <c r="M108" s="204"/>
      <c r="N108" s="204"/>
      <c r="O108" s="204"/>
      <c r="P108" s="85" t="s">
        <v>115</v>
      </c>
      <c r="Q108" s="85"/>
      <c r="R108" s="85"/>
    </row>
    <row r="109" spans="5:18" x14ac:dyDescent="0.3">
      <c r="L109" s="202" t="s">
        <v>120</v>
      </c>
      <c r="M109" s="202"/>
      <c r="N109" s="96"/>
      <c r="P109" s="97"/>
      <c r="Q109" s="98"/>
      <c r="R109" s="99"/>
    </row>
    <row r="110" spans="5:18" x14ac:dyDescent="0.3">
      <c r="L110" s="203"/>
      <c r="M110" s="203"/>
      <c r="N110" s="96"/>
      <c r="P110" s="100"/>
      <c r="Q110" s="101"/>
      <c r="R110" s="102" t="s">
        <v>121</v>
      </c>
    </row>
    <row r="111" spans="5:18" x14ac:dyDescent="0.3">
      <c r="L111" s="204" t="s">
        <v>114</v>
      </c>
      <c r="M111" s="204"/>
      <c r="N111" s="204"/>
      <c r="O111" s="204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Operator</cp:lastModifiedBy>
  <cp:lastPrinted>2021-07-29T09:22:41Z</cp:lastPrinted>
  <dcterms:created xsi:type="dcterms:W3CDTF">2021-07-27T14:56:21Z</dcterms:created>
  <dcterms:modified xsi:type="dcterms:W3CDTF">2022-06-23T20:14:01Z</dcterms:modified>
</cp:coreProperties>
</file>